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 Aguilar\Desktop\Metodos numericos\"/>
    </mc:Choice>
  </mc:AlternateContent>
  <xr:revisionPtr revIDLastSave="0" documentId="13_ncr:1_{39CA892F-5456-49F2-B2C3-1DAF0499B7CA}" xr6:coauthVersionLast="47" xr6:coauthVersionMax="47" xr10:uidLastSave="{00000000-0000-0000-0000-000000000000}"/>
  <bookViews>
    <workbookView xWindow="-120" yWindow="-120" windowWidth="20730" windowHeight="11040" activeTab="3" xr2:uid="{734CCC00-D907-4100-AF87-E2D2E5E55CFE}"/>
  </bookViews>
  <sheets>
    <sheet name="Metodo Bisección" sheetId="1" r:id="rId1"/>
    <sheet name="Metodo Falsa Posicion" sheetId="2" r:id="rId2"/>
    <sheet name="Metodo Newton-Raphson" sheetId="3" r:id="rId3"/>
    <sheet name="Metodo Secan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" i="4" l="1"/>
  <c r="B52" i="4"/>
  <c r="D52" i="4" s="1"/>
  <c r="C37" i="4"/>
  <c r="B37" i="4"/>
  <c r="D37" i="4" s="1"/>
  <c r="C22" i="4"/>
  <c r="B22" i="4"/>
  <c r="D22" i="4" s="1"/>
  <c r="C7" i="4"/>
  <c r="B7" i="4"/>
  <c r="D7" i="4" s="1"/>
  <c r="B52" i="3"/>
  <c r="B37" i="3"/>
  <c r="B22" i="3"/>
  <c r="B7" i="3"/>
  <c r="C55" i="2"/>
  <c r="B55" i="2"/>
  <c r="D55" i="2" s="1"/>
  <c r="C39" i="2"/>
  <c r="B39" i="2"/>
  <c r="D39" i="2" s="1"/>
  <c r="C23" i="2"/>
  <c r="B23" i="2"/>
  <c r="D23" i="2" s="1"/>
  <c r="C7" i="2"/>
  <c r="B7" i="2"/>
  <c r="D7" i="2" s="1"/>
  <c r="C58" i="1"/>
  <c r="B58" i="1"/>
  <c r="C42" i="1"/>
  <c r="B42" i="1"/>
  <c r="C26" i="1"/>
  <c r="B26" i="1"/>
  <c r="D7" i="1"/>
  <c r="C7" i="1"/>
  <c r="B8" i="4" l="1"/>
  <c r="D8" i="4" s="1"/>
  <c r="G7" i="4"/>
  <c r="H7" i="4" s="1"/>
  <c r="E7" i="4"/>
  <c r="F7" i="4" s="1"/>
  <c r="C8" i="4" s="1"/>
  <c r="B23" i="4"/>
  <c r="D23" i="4" s="1"/>
  <c r="G22" i="4"/>
  <c r="H22" i="4" s="1"/>
  <c r="E22" i="4"/>
  <c r="F22" i="4" s="1"/>
  <c r="C23" i="4" s="1"/>
  <c r="B38" i="4"/>
  <c r="D38" i="4" s="1"/>
  <c r="G37" i="4"/>
  <c r="H37" i="4" s="1"/>
  <c r="E37" i="4"/>
  <c r="F37" i="4" s="1"/>
  <c r="C38" i="4" s="1"/>
  <c r="B53" i="4"/>
  <c r="D53" i="4" s="1"/>
  <c r="G52" i="4"/>
  <c r="H52" i="4" s="1"/>
  <c r="E52" i="4"/>
  <c r="F52" i="4" s="1"/>
  <c r="C53" i="4" s="1"/>
  <c r="D7" i="3"/>
  <c r="C7" i="3"/>
  <c r="E7" i="3" s="1"/>
  <c r="D22" i="3"/>
  <c r="C22" i="3"/>
  <c r="E22" i="3" s="1"/>
  <c r="D37" i="3"/>
  <c r="C37" i="3"/>
  <c r="E37" i="3" s="1"/>
  <c r="D52" i="3"/>
  <c r="C52" i="3"/>
  <c r="E52" i="3" s="1"/>
  <c r="H7" i="2"/>
  <c r="E7" i="2"/>
  <c r="F7" i="2" s="1"/>
  <c r="G7" i="2" s="1"/>
  <c r="H23" i="2"/>
  <c r="E23" i="2"/>
  <c r="F23" i="2" s="1"/>
  <c r="G23" i="2" s="1"/>
  <c r="H39" i="2"/>
  <c r="E39" i="2"/>
  <c r="F39" i="2" s="1"/>
  <c r="G39" i="2" s="1"/>
  <c r="H55" i="2"/>
  <c r="E55" i="2"/>
  <c r="F55" i="2" s="1"/>
  <c r="G55" i="2" s="1"/>
  <c r="F26" i="1"/>
  <c r="D26" i="1"/>
  <c r="G26" i="1" s="1"/>
  <c r="H26" i="1"/>
  <c r="E26" i="1"/>
  <c r="F42" i="1"/>
  <c r="D42" i="1"/>
  <c r="G42" i="1" s="1"/>
  <c r="H42" i="1"/>
  <c r="E42" i="1"/>
  <c r="F58" i="1"/>
  <c r="D58" i="1"/>
  <c r="G58" i="1" s="1"/>
  <c r="H58" i="1"/>
  <c r="E58" i="1"/>
  <c r="H7" i="1"/>
  <c r="F7" i="1"/>
  <c r="E7" i="1"/>
  <c r="G7" i="1"/>
  <c r="B54" i="4" l="1"/>
  <c r="D54" i="4" s="1"/>
  <c r="E53" i="4"/>
  <c r="F53" i="4" s="1"/>
  <c r="B39" i="4"/>
  <c r="D39" i="4" s="1"/>
  <c r="E38" i="4"/>
  <c r="F38" i="4" s="1"/>
  <c r="B24" i="4"/>
  <c r="D24" i="4" s="1"/>
  <c r="E23" i="4"/>
  <c r="F23" i="4" s="1"/>
  <c r="B9" i="4"/>
  <c r="D9" i="4" s="1"/>
  <c r="E8" i="4"/>
  <c r="F8" i="4" s="1"/>
  <c r="B53" i="3"/>
  <c r="F52" i="3"/>
  <c r="G52" i="3" s="1"/>
  <c r="B38" i="3"/>
  <c r="F37" i="3"/>
  <c r="G37" i="3" s="1"/>
  <c r="B23" i="3"/>
  <c r="F22" i="3"/>
  <c r="G22" i="3" s="1"/>
  <c r="B8" i="3"/>
  <c r="F7" i="3"/>
  <c r="G7" i="3" s="1"/>
  <c r="C56" i="2"/>
  <c r="B56" i="2"/>
  <c r="D56" i="2" s="1"/>
  <c r="C40" i="2"/>
  <c r="B40" i="2"/>
  <c r="D40" i="2" s="1"/>
  <c r="C24" i="2"/>
  <c r="B24" i="2"/>
  <c r="D24" i="2" s="1"/>
  <c r="C8" i="2"/>
  <c r="B8" i="2"/>
  <c r="D8" i="2" s="1"/>
  <c r="C59" i="1"/>
  <c r="B59" i="1"/>
  <c r="C43" i="1"/>
  <c r="B43" i="1"/>
  <c r="C27" i="1"/>
  <c r="B27" i="1"/>
  <c r="C8" i="1"/>
  <c r="B8" i="1"/>
  <c r="C9" i="4" l="1"/>
  <c r="G8" i="4"/>
  <c r="H8" i="4" s="1"/>
  <c r="C24" i="4"/>
  <c r="G23" i="4"/>
  <c r="H23" i="4" s="1"/>
  <c r="C39" i="4"/>
  <c r="G38" i="4"/>
  <c r="H38" i="4" s="1"/>
  <c r="C54" i="4"/>
  <c r="G53" i="4"/>
  <c r="H53" i="4" s="1"/>
  <c r="D8" i="3"/>
  <c r="C8" i="3"/>
  <c r="E8" i="3" s="1"/>
  <c r="D23" i="3"/>
  <c r="C23" i="3"/>
  <c r="E23" i="3" s="1"/>
  <c r="D38" i="3"/>
  <c r="C38" i="3"/>
  <c r="E38" i="3" s="1"/>
  <c r="D53" i="3"/>
  <c r="C53" i="3"/>
  <c r="E53" i="3" s="1"/>
  <c r="E8" i="2"/>
  <c r="F8" i="2" s="1"/>
  <c r="E24" i="2"/>
  <c r="F24" i="2" s="1"/>
  <c r="E40" i="2"/>
  <c r="F40" i="2" s="1"/>
  <c r="E56" i="2"/>
  <c r="F56" i="2" s="1"/>
  <c r="F27" i="1"/>
  <c r="D27" i="1"/>
  <c r="G27" i="1" s="1"/>
  <c r="H27" i="1"/>
  <c r="E27" i="1"/>
  <c r="F43" i="1"/>
  <c r="D43" i="1"/>
  <c r="G43" i="1" s="1"/>
  <c r="H43" i="1"/>
  <c r="E43" i="1"/>
  <c r="F59" i="1"/>
  <c r="D59" i="1"/>
  <c r="G59" i="1" s="1"/>
  <c r="H59" i="1"/>
  <c r="E59" i="1"/>
  <c r="F8" i="1"/>
  <c r="D8" i="1"/>
  <c r="G8" i="1" s="1"/>
  <c r="H8" i="1"/>
  <c r="E8" i="1"/>
  <c r="B55" i="4" l="1"/>
  <c r="D55" i="4" s="1"/>
  <c r="E54" i="4"/>
  <c r="F54" i="4" s="1"/>
  <c r="B40" i="4"/>
  <c r="D40" i="4" s="1"/>
  <c r="E39" i="4"/>
  <c r="F39" i="4" s="1"/>
  <c r="B25" i="4"/>
  <c r="D25" i="4" s="1"/>
  <c r="E24" i="4"/>
  <c r="F24" i="4" s="1"/>
  <c r="B10" i="4"/>
  <c r="D10" i="4" s="1"/>
  <c r="E9" i="4"/>
  <c r="F9" i="4" s="1"/>
  <c r="B54" i="3"/>
  <c r="F53" i="3"/>
  <c r="G53" i="3" s="1"/>
  <c r="B39" i="3"/>
  <c r="F38" i="3"/>
  <c r="G38" i="3" s="1"/>
  <c r="B24" i="3"/>
  <c r="F23" i="3"/>
  <c r="G23" i="3" s="1"/>
  <c r="B9" i="3"/>
  <c r="F8" i="3"/>
  <c r="G8" i="3" s="1"/>
  <c r="H56" i="2"/>
  <c r="G56" i="2"/>
  <c r="H40" i="2"/>
  <c r="G40" i="2"/>
  <c r="H24" i="2"/>
  <c r="G24" i="2"/>
  <c r="H8" i="2"/>
  <c r="G8" i="2"/>
  <c r="C60" i="1"/>
  <c r="B60" i="1"/>
  <c r="C44" i="1"/>
  <c r="B44" i="1"/>
  <c r="C28" i="1"/>
  <c r="B28" i="1"/>
  <c r="C9" i="1"/>
  <c r="B9" i="1"/>
  <c r="C10" i="4" l="1"/>
  <c r="G9" i="4"/>
  <c r="H9" i="4" s="1"/>
  <c r="C25" i="4"/>
  <c r="G24" i="4"/>
  <c r="H24" i="4" s="1"/>
  <c r="C40" i="4"/>
  <c r="G39" i="4"/>
  <c r="H39" i="4" s="1"/>
  <c r="C55" i="4"/>
  <c r="G54" i="4"/>
  <c r="H54" i="4" s="1"/>
  <c r="D9" i="3"/>
  <c r="C9" i="3"/>
  <c r="E9" i="3" s="1"/>
  <c r="D24" i="3"/>
  <c r="C24" i="3"/>
  <c r="E24" i="3" s="1"/>
  <c r="D39" i="3"/>
  <c r="C39" i="3"/>
  <c r="E39" i="3" s="1"/>
  <c r="D54" i="3"/>
  <c r="C54" i="3"/>
  <c r="E54" i="3" s="1"/>
  <c r="C9" i="2"/>
  <c r="B9" i="2"/>
  <c r="D9" i="2" s="1"/>
  <c r="C25" i="2"/>
  <c r="B25" i="2"/>
  <c r="D25" i="2" s="1"/>
  <c r="C41" i="2"/>
  <c r="B41" i="2"/>
  <c r="D41" i="2" s="1"/>
  <c r="C57" i="2"/>
  <c r="B57" i="2"/>
  <c r="D57" i="2" s="1"/>
  <c r="F28" i="1"/>
  <c r="D28" i="1"/>
  <c r="G28" i="1" s="1"/>
  <c r="H28" i="1"/>
  <c r="E28" i="1"/>
  <c r="F44" i="1"/>
  <c r="D44" i="1"/>
  <c r="G44" i="1" s="1"/>
  <c r="H44" i="1"/>
  <c r="E44" i="1"/>
  <c r="F60" i="1"/>
  <c r="D60" i="1"/>
  <c r="G60" i="1" s="1"/>
  <c r="H60" i="1"/>
  <c r="E60" i="1"/>
  <c r="F9" i="1"/>
  <c r="D9" i="1"/>
  <c r="G9" i="1" s="1"/>
  <c r="H9" i="1"/>
  <c r="E9" i="1"/>
  <c r="B56" i="4" l="1"/>
  <c r="D56" i="4" s="1"/>
  <c r="E55" i="4"/>
  <c r="F55" i="4" s="1"/>
  <c r="B41" i="4"/>
  <c r="D41" i="4" s="1"/>
  <c r="E40" i="4"/>
  <c r="F40" i="4" s="1"/>
  <c r="B26" i="4"/>
  <c r="D26" i="4" s="1"/>
  <c r="E25" i="4"/>
  <c r="F25" i="4" s="1"/>
  <c r="B11" i="4"/>
  <c r="D11" i="4" s="1"/>
  <c r="E10" i="4"/>
  <c r="F10" i="4" s="1"/>
  <c r="B55" i="3"/>
  <c r="F54" i="3"/>
  <c r="G54" i="3" s="1"/>
  <c r="B40" i="3"/>
  <c r="F39" i="3"/>
  <c r="G39" i="3" s="1"/>
  <c r="B25" i="3"/>
  <c r="F24" i="3"/>
  <c r="G24" i="3" s="1"/>
  <c r="B10" i="3"/>
  <c r="F9" i="3"/>
  <c r="G9" i="3" s="1"/>
  <c r="E57" i="2"/>
  <c r="F57" i="2" s="1"/>
  <c r="E41" i="2"/>
  <c r="F41" i="2" s="1"/>
  <c r="E25" i="2"/>
  <c r="F25" i="2" s="1"/>
  <c r="E9" i="2"/>
  <c r="F9" i="2" s="1"/>
  <c r="C61" i="1"/>
  <c r="B61" i="1"/>
  <c r="C45" i="1"/>
  <c r="B45" i="1"/>
  <c r="C29" i="1"/>
  <c r="B29" i="1"/>
  <c r="C10" i="1"/>
  <c r="B10" i="1"/>
  <c r="C11" i="4" l="1"/>
  <c r="G10" i="4"/>
  <c r="H10" i="4" s="1"/>
  <c r="C26" i="4"/>
  <c r="G25" i="4"/>
  <c r="H25" i="4" s="1"/>
  <c r="C41" i="4"/>
  <c r="G40" i="4"/>
  <c r="H40" i="4" s="1"/>
  <c r="C56" i="4"/>
  <c r="G55" i="4"/>
  <c r="H55" i="4" s="1"/>
  <c r="D10" i="3"/>
  <c r="C10" i="3"/>
  <c r="E10" i="3" s="1"/>
  <c r="D25" i="3"/>
  <c r="C25" i="3"/>
  <c r="E25" i="3" s="1"/>
  <c r="D40" i="3"/>
  <c r="C40" i="3"/>
  <c r="E40" i="3" s="1"/>
  <c r="D55" i="3"/>
  <c r="C55" i="3"/>
  <c r="E55" i="3" s="1"/>
  <c r="H9" i="2"/>
  <c r="G9" i="2"/>
  <c r="H25" i="2"/>
  <c r="G25" i="2"/>
  <c r="H41" i="2"/>
  <c r="G41" i="2"/>
  <c r="H57" i="2"/>
  <c r="G57" i="2"/>
  <c r="F29" i="1"/>
  <c r="D29" i="1"/>
  <c r="G29" i="1" s="1"/>
  <c r="H29" i="1"/>
  <c r="E29" i="1"/>
  <c r="F45" i="1"/>
  <c r="D45" i="1"/>
  <c r="G45" i="1" s="1"/>
  <c r="H45" i="1"/>
  <c r="E45" i="1"/>
  <c r="F61" i="1"/>
  <c r="D61" i="1"/>
  <c r="G61" i="1" s="1"/>
  <c r="H61" i="1"/>
  <c r="E61" i="1"/>
  <c r="F10" i="1"/>
  <c r="D10" i="1"/>
  <c r="G10" i="1" s="1"/>
  <c r="H10" i="1"/>
  <c r="E10" i="1"/>
  <c r="B57" i="4" l="1"/>
  <c r="D57" i="4" s="1"/>
  <c r="E56" i="4"/>
  <c r="F56" i="4" s="1"/>
  <c r="B42" i="4"/>
  <c r="D42" i="4" s="1"/>
  <c r="E41" i="4"/>
  <c r="F41" i="4" s="1"/>
  <c r="B27" i="4"/>
  <c r="D27" i="4" s="1"/>
  <c r="E26" i="4"/>
  <c r="F26" i="4" s="1"/>
  <c r="B12" i="4"/>
  <c r="D12" i="4" s="1"/>
  <c r="E11" i="4"/>
  <c r="F11" i="4" s="1"/>
  <c r="B56" i="3"/>
  <c r="F55" i="3"/>
  <c r="G55" i="3" s="1"/>
  <c r="B41" i="3"/>
  <c r="F40" i="3"/>
  <c r="G40" i="3" s="1"/>
  <c r="B26" i="3"/>
  <c r="F25" i="3"/>
  <c r="G25" i="3" s="1"/>
  <c r="B11" i="3"/>
  <c r="F10" i="3"/>
  <c r="G10" i="3" s="1"/>
  <c r="C58" i="2"/>
  <c r="B58" i="2"/>
  <c r="D58" i="2" s="1"/>
  <c r="C42" i="2"/>
  <c r="B42" i="2"/>
  <c r="D42" i="2" s="1"/>
  <c r="C26" i="2"/>
  <c r="B26" i="2"/>
  <c r="D26" i="2" s="1"/>
  <c r="C10" i="2"/>
  <c r="B10" i="2"/>
  <c r="D10" i="2" s="1"/>
  <c r="C62" i="1"/>
  <c r="B62" i="1"/>
  <c r="C46" i="1"/>
  <c r="B46" i="1"/>
  <c r="C30" i="1"/>
  <c r="B30" i="1"/>
  <c r="C11" i="1"/>
  <c r="B11" i="1"/>
  <c r="C12" i="4" l="1"/>
  <c r="G11" i="4"/>
  <c r="H11" i="4" s="1"/>
  <c r="C27" i="4"/>
  <c r="G26" i="4"/>
  <c r="H26" i="4" s="1"/>
  <c r="C42" i="4"/>
  <c r="G41" i="4"/>
  <c r="H41" i="4" s="1"/>
  <c r="C57" i="4"/>
  <c r="G56" i="4"/>
  <c r="H56" i="4" s="1"/>
  <c r="D11" i="3"/>
  <c r="C11" i="3"/>
  <c r="E11" i="3" s="1"/>
  <c r="D26" i="3"/>
  <c r="C26" i="3"/>
  <c r="E26" i="3" s="1"/>
  <c r="D41" i="3"/>
  <c r="C41" i="3"/>
  <c r="E41" i="3" s="1"/>
  <c r="D56" i="3"/>
  <c r="C56" i="3"/>
  <c r="E56" i="3" s="1"/>
  <c r="E10" i="2"/>
  <c r="F10" i="2" s="1"/>
  <c r="E26" i="2"/>
  <c r="F26" i="2" s="1"/>
  <c r="E42" i="2"/>
  <c r="F42" i="2" s="1"/>
  <c r="E58" i="2"/>
  <c r="F58" i="2" s="1"/>
  <c r="F30" i="1"/>
  <c r="D30" i="1"/>
  <c r="G30" i="1" s="1"/>
  <c r="H30" i="1"/>
  <c r="E30" i="1"/>
  <c r="F46" i="1"/>
  <c r="D46" i="1"/>
  <c r="G46" i="1" s="1"/>
  <c r="H46" i="1"/>
  <c r="E46" i="1"/>
  <c r="F62" i="1"/>
  <c r="D62" i="1"/>
  <c r="G62" i="1" s="1"/>
  <c r="H62" i="1"/>
  <c r="E62" i="1"/>
  <c r="F11" i="1"/>
  <c r="D11" i="1"/>
  <c r="G11" i="1" s="1"/>
  <c r="H11" i="1"/>
  <c r="E11" i="1"/>
  <c r="B58" i="4" l="1"/>
  <c r="D58" i="4" s="1"/>
  <c r="E57" i="4"/>
  <c r="F57" i="4" s="1"/>
  <c r="B43" i="4"/>
  <c r="D43" i="4" s="1"/>
  <c r="E42" i="4"/>
  <c r="F42" i="4" s="1"/>
  <c r="B28" i="4"/>
  <c r="D28" i="4" s="1"/>
  <c r="E27" i="4"/>
  <c r="F27" i="4" s="1"/>
  <c r="B13" i="4"/>
  <c r="D13" i="4" s="1"/>
  <c r="E12" i="4"/>
  <c r="F12" i="4" s="1"/>
  <c r="B57" i="3"/>
  <c r="F56" i="3"/>
  <c r="G56" i="3" s="1"/>
  <c r="B42" i="3"/>
  <c r="F41" i="3"/>
  <c r="G41" i="3" s="1"/>
  <c r="B27" i="3"/>
  <c r="F26" i="3"/>
  <c r="G26" i="3" s="1"/>
  <c r="B12" i="3"/>
  <c r="F11" i="3"/>
  <c r="G11" i="3" s="1"/>
  <c r="H58" i="2"/>
  <c r="G58" i="2"/>
  <c r="H42" i="2"/>
  <c r="G42" i="2"/>
  <c r="H26" i="2"/>
  <c r="G26" i="2"/>
  <c r="H10" i="2"/>
  <c r="G10" i="2"/>
  <c r="C63" i="1"/>
  <c r="B63" i="1"/>
  <c r="C47" i="1"/>
  <c r="B47" i="1"/>
  <c r="C31" i="1"/>
  <c r="B31" i="1"/>
  <c r="C12" i="1"/>
  <c r="B12" i="1"/>
  <c r="C13" i="4" l="1"/>
  <c r="G12" i="4"/>
  <c r="H12" i="4" s="1"/>
  <c r="C28" i="4"/>
  <c r="G27" i="4"/>
  <c r="H27" i="4" s="1"/>
  <c r="C43" i="4"/>
  <c r="G42" i="4"/>
  <c r="H42" i="4" s="1"/>
  <c r="C58" i="4"/>
  <c r="G57" i="4"/>
  <c r="H57" i="4" s="1"/>
  <c r="D12" i="3"/>
  <c r="C12" i="3"/>
  <c r="E12" i="3" s="1"/>
  <c r="D27" i="3"/>
  <c r="C27" i="3"/>
  <c r="E27" i="3" s="1"/>
  <c r="D42" i="3"/>
  <c r="C42" i="3"/>
  <c r="E42" i="3" s="1"/>
  <c r="D57" i="3"/>
  <c r="C57" i="3"/>
  <c r="E57" i="3" s="1"/>
  <c r="C11" i="2"/>
  <c r="B11" i="2"/>
  <c r="D11" i="2" s="1"/>
  <c r="C27" i="2"/>
  <c r="B27" i="2"/>
  <c r="D27" i="2" s="1"/>
  <c r="C43" i="2"/>
  <c r="B43" i="2"/>
  <c r="D43" i="2" s="1"/>
  <c r="C59" i="2"/>
  <c r="B59" i="2"/>
  <c r="D59" i="2" s="1"/>
  <c r="F31" i="1"/>
  <c r="D31" i="1"/>
  <c r="G31" i="1" s="1"/>
  <c r="H31" i="1"/>
  <c r="E31" i="1"/>
  <c r="F47" i="1"/>
  <c r="D47" i="1"/>
  <c r="G47" i="1" s="1"/>
  <c r="H47" i="1"/>
  <c r="E47" i="1"/>
  <c r="F63" i="1"/>
  <c r="D63" i="1"/>
  <c r="G63" i="1" s="1"/>
  <c r="H63" i="1"/>
  <c r="E63" i="1"/>
  <c r="F12" i="1"/>
  <c r="D12" i="1"/>
  <c r="G12" i="1" s="1"/>
  <c r="H12" i="1"/>
  <c r="E12" i="1"/>
  <c r="B59" i="4" l="1"/>
  <c r="D59" i="4" s="1"/>
  <c r="E58" i="4"/>
  <c r="F58" i="4" s="1"/>
  <c r="B44" i="4"/>
  <c r="D44" i="4" s="1"/>
  <c r="E43" i="4"/>
  <c r="F43" i="4" s="1"/>
  <c r="B29" i="4"/>
  <c r="D29" i="4" s="1"/>
  <c r="E28" i="4"/>
  <c r="F28" i="4" s="1"/>
  <c r="B14" i="4"/>
  <c r="D14" i="4" s="1"/>
  <c r="E13" i="4"/>
  <c r="F13" i="4" s="1"/>
  <c r="B58" i="3"/>
  <c r="F57" i="3"/>
  <c r="G57" i="3" s="1"/>
  <c r="B43" i="3"/>
  <c r="F42" i="3"/>
  <c r="G42" i="3" s="1"/>
  <c r="B28" i="3"/>
  <c r="F27" i="3"/>
  <c r="G27" i="3" s="1"/>
  <c r="B13" i="3"/>
  <c r="F12" i="3"/>
  <c r="G12" i="3" s="1"/>
  <c r="E59" i="2"/>
  <c r="F59" i="2" s="1"/>
  <c r="E43" i="2"/>
  <c r="F43" i="2" s="1"/>
  <c r="E27" i="2"/>
  <c r="F27" i="2" s="1"/>
  <c r="E11" i="2"/>
  <c r="F11" i="2" s="1"/>
  <c r="C64" i="1"/>
  <c r="B64" i="1"/>
  <c r="C48" i="1"/>
  <c r="B48" i="1"/>
  <c r="C32" i="1"/>
  <c r="B32" i="1"/>
  <c r="C13" i="1"/>
  <c r="B13" i="1"/>
  <c r="C14" i="4" l="1"/>
  <c r="G13" i="4"/>
  <c r="H13" i="4" s="1"/>
  <c r="C29" i="4"/>
  <c r="G28" i="4"/>
  <c r="H28" i="4" s="1"/>
  <c r="C44" i="4"/>
  <c r="G43" i="4"/>
  <c r="H43" i="4" s="1"/>
  <c r="C59" i="4"/>
  <c r="G58" i="4"/>
  <c r="H58" i="4" s="1"/>
  <c r="D13" i="3"/>
  <c r="C13" i="3"/>
  <c r="E13" i="3" s="1"/>
  <c r="D28" i="3"/>
  <c r="C28" i="3"/>
  <c r="E28" i="3" s="1"/>
  <c r="D43" i="3"/>
  <c r="C43" i="3"/>
  <c r="E43" i="3" s="1"/>
  <c r="D58" i="3"/>
  <c r="C58" i="3"/>
  <c r="E58" i="3" s="1"/>
  <c r="H11" i="2"/>
  <c r="G11" i="2"/>
  <c r="H27" i="2"/>
  <c r="G27" i="2"/>
  <c r="H43" i="2"/>
  <c r="G43" i="2"/>
  <c r="H59" i="2"/>
  <c r="G59" i="2"/>
  <c r="F32" i="1"/>
  <c r="D32" i="1"/>
  <c r="G32" i="1" s="1"/>
  <c r="H32" i="1"/>
  <c r="E32" i="1"/>
  <c r="F48" i="1"/>
  <c r="D48" i="1"/>
  <c r="G48" i="1" s="1"/>
  <c r="H48" i="1"/>
  <c r="E48" i="1"/>
  <c r="F64" i="1"/>
  <c r="D64" i="1"/>
  <c r="G64" i="1" s="1"/>
  <c r="H64" i="1"/>
  <c r="E64" i="1"/>
  <c r="F13" i="1"/>
  <c r="D13" i="1"/>
  <c r="G13" i="1" s="1"/>
  <c r="H13" i="1"/>
  <c r="E13" i="1"/>
  <c r="E59" i="4" l="1"/>
  <c r="F59" i="4" s="1"/>
  <c r="G59" i="4" s="1"/>
  <c r="H59" i="4" s="1"/>
  <c r="E44" i="4"/>
  <c r="F44" i="4" s="1"/>
  <c r="G44" i="4" s="1"/>
  <c r="H44" i="4" s="1"/>
  <c r="E29" i="4"/>
  <c r="F29" i="4" s="1"/>
  <c r="G29" i="4" s="1"/>
  <c r="H29" i="4" s="1"/>
  <c r="E14" i="4"/>
  <c r="F14" i="4" s="1"/>
  <c r="G14" i="4" s="1"/>
  <c r="H14" i="4" s="1"/>
  <c r="B59" i="3"/>
  <c r="F58" i="3"/>
  <c r="G58" i="3" s="1"/>
  <c r="B44" i="3"/>
  <c r="F43" i="3"/>
  <c r="G43" i="3" s="1"/>
  <c r="B29" i="3"/>
  <c r="F28" i="3"/>
  <c r="G28" i="3" s="1"/>
  <c r="B14" i="3"/>
  <c r="F13" i="3"/>
  <c r="G13" i="3" s="1"/>
  <c r="C60" i="2"/>
  <c r="B60" i="2"/>
  <c r="D60" i="2" s="1"/>
  <c r="C44" i="2"/>
  <c r="B44" i="2"/>
  <c r="D44" i="2" s="1"/>
  <c r="C28" i="2"/>
  <c r="B28" i="2"/>
  <c r="D28" i="2" s="1"/>
  <c r="C12" i="2"/>
  <c r="B12" i="2"/>
  <c r="D12" i="2" s="1"/>
  <c r="C65" i="1"/>
  <c r="B65" i="1"/>
  <c r="C49" i="1"/>
  <c r="B49" i="1"/>
  <c r="C33" i="1"/>
  <c r="B33" i="1"/>
  <c r="C14" i="1"/>
  <c r="B14" i="1"/>
  <c r="D14" i="3" l="1"/>
  <c r="C14" i="3"/>
  <c r="E14" i="3" s="1"/>
  <c r="F14" i="3" s="1"/>
  <c r="G14" i="3" s="1"/>
  <c r="D29" i="3"/>
  <c r="C29" i="3"/>
  <c r="E29" i="3" s="1"/>
  <c r="F29" i="3" s="1"/>
  <c r="G29" i="3" s="1"/>
  <c r="D44" i="3"/>
  <c r="C44" i="3"/>
  <c r="E44" i="3" s="1"/>
  <c r="F44" i="3" s="1"/>
  <c r="G44" i="3" s="1"/>
  <c r="D59" i="3"/>
  <c r="C59" i="3"/>
  <c r="E59" i="3" s="1"/>
  <c r="F59" i="3" s="1"/>
  <c r="G59" i="3" s="1"/>
  <c r="E12" i="2"/>
  <c r="F12" i="2" s="1"/>
  <c r="E28" i="2"/>
  <c r="F28" i="2" s="1"/>
  <c r="E44" i="2"/>
  <c r="F44" i="2" s="1"/>
  <c r="E60" i="2"/>
  <c r="F60" i="2" s="1"/>
  <c r="F33" i="1"/>
  <c r="D33" i="1"/>
  <c r="G33" i="1" s="1"/>
  <c r="H33" i="1"/>
  <c r="E33" i="1"/>
  <c r="F49" i="1"/>
  <c r="D49" i="1"/>
  <c r="G49" i="1" s="1"/>
  <c r="H49" i="1"/>
  <c r="E49" i="1"/>
  <c r="F65" i="1"/>
  <c r="D65" i="1"/>
  <c r="G65" i="1" s="1"/>
  <c r="H65" i="1"/>
  <c r="E65" i="1"/>
  <c r="F14" i="1"/>
  <c r="D14" i="1"/>
  <c r="G14" i="1" s="1"/>
  <c r="H14" i="1"/>
  <c r="E14" i="1"/>
  <c r="H60" i="2" l="1"/>
  <c r="G60" i="2"/>
  <c r="H44" i="2"/>
  <c r="G44" i="2"/>
  <c r="H28" i="2"/>
  <c r="G28" i="2"/>
  <c r="H12" i="2"/>
  <c r="G12" i="2"/>
  <c r="C13" i="2" l="1"/>
  <c r="B13" i="2"/>
  <c r="D13" i="2" s="1"/>
  <c r="C29" i="2"/>
  <c r="B29" i="2"/>
  <c r="D29" i="2" s="1"/>
  <c r="C45" i="2"/>
  <c r="B45" i="2"/>
  <c r="D45" i="2" s="1"/>
  <c r="C61" i="2"/>
  <c r="B61" i="2"/>
  <c r="D61" i="2" s="1"/>
  <c r="E61" i="2" l="1"/>
  <c r="F61" i="2" s="1"/>
  <c r="E45" i="2"/>
  <c r="F45" i="2" s="1"/>
  <c r="E29" i="2"/>
  <c r="F29" i="2" s="1"/>
  <c r="E13" i="2"/>
  <c r="F13" i="2" s="1"/>
  <c r="H13" i="2" l="1"/>
  <c r="G13" i="2"/>
  <c r="H29" i="2"/>
  <c r="G29" i="2"/>
  <c r="H45" i="2"/>
  <c r="G45" i="2"/>
  <c r="H61" i="2"/>
  <c r="G61" i="2"/>
  <c r="C62" i="2" l="1"/>
  <c r="B62" i="2"/>
  <c r="D62" i="2" s="1"/>
  <c r="C46" i="2"/>
  <c r="B46" i="2"/>
  <c r="D46" i="2" s="1"/>
  <c r="C30" i="2"/>
  <c r="B30" i="2"/>
  <c r="D30" i="2" s="1"/>
  <c r="C14" i="2"/>
  <c r="B14" i="2"/>
  <c r="D14" i="2" s="1"/>
  <c r="E14" i="2" l="1"/>
  <c r="F14" i="2" s="1"/>
  <c r="E30" i="2"/>
  <c r="F30" i="2" s="1"/>
  <c r="E46" i="2"/>
  <c r="F46" i="2" s="1"/>
  <c r="E62" i="2"/>
  <c r="F62" i="2" s="1"/>
  <c r="H62" i="2" l="1"/>
  <c r="G62" i="2"/>
  <c r="H46" i="2"/>
  <c r="G46" i="2"/>
  <c r="H30" i="2"/>
  <c r="G30" i="2"/>
  <c r="H14" i="2"/>
  <c r="G14" i="2"/>
</calcChain>
</file>

<file path=xl/sharedStrings.xml><?xml version="1.0" encoding="utf-8"?>
<sst xmlns="http://schemas.openxmlformats.org/spreadsheetml/2006/main" count="224" uniqueCount="51">
  <si>
    <t>a</t>
  </si>
  <si>
    <t>b</t>
  </si>
  <si>
    <t>f(b)</t>
  </si>
  <si>
    <t>Error</t>
  </si>
  <si>
    <t>Método de Bisección – Ejercicio 1</t>
  </si>
  <si>
    <t>Función:</t>
  </si>
  <si>
    <t>f(x) = x³ - x - 1</t>
  </si>
  <si>
    <t>a:</t>
  </si>
  <si>
    <t>b:</t>
  </si>
  <si>
    <t>Tolerancia:</t>
  </si>
  <si>
    <t>Iter.</t>
  </si>
  <si>
    <t>f(a)</t>
  </si>
  <si>
    <t>Mitad c=(a+b)/2</t>
  </si>
  <si>
    <t>f(a)·f(c)</t>
  </si>
  <si>
    <t>Error |b-a|</t>
  </si>
  <si>
    <t>Método de Bisección – Ejercicio 2</t>
  </si>
  <si>
    <t>f(x) = x² - 2</t>
  </si>
  <si>
    <t>Método de Bisección – Ejercicio 3</t>
  </si>
  <si>
    <t>f(x) = x³ - 2x - 5</t>
  </si>
  <si>
    <t>Método de Bisección – Ejercicio 4</t>
  </si>
  <si>
    <t>f(x) = 2x² - 3</t>
  </si>
  <si>
    <t>Método de Falsa Posición – Ejercicio 1</t>
  </si>
  <si>
    <t>xr = b - f(b)(b-a)/(f(b)-f(a))</t>
  </si>
  <si>
    <t>f(xr)</t>
  </si>
  <si>
    <t>Método de Falsa Posición – Ejercicio 2</t>
  </si>
  <si>
    <t>Método de Falsa Posición – Ejercicio 3</t>
  </si>
  <si>
    <t>Método de Falsa Posición – Ejercicio 4</t>
  </si>
  <si>
    <t>Método Newton-Raphson – Ejercicio 1</t>
  </si>
  <si>
    <t>Derivada:</t>
  </si>
  <si>
    <t>f'(x) = 3x² - 1</t>
  </si>
  <si>
    <t>x₀:</t>
  </si>
  <si>
    <t>xₙ</t>
  </si>
  <si>
    <t>f(xₙ)</t>
  </si>
  <si>
    <t>f'(xₙ)</t>
  </si>
  <si>
    <t>xₙ₊₁ = xₙ - f/f'</t>
  </si>
  <si>
    <t>Error (%)</t>
  </si>
  <si>
    <t>¿Converge?</t>
  </si>
  <si>
    <t>Método Newton-Raphson – Ejercicio 2</t>
  </si>
  <si>
    <t>f'(x) = 2x</t>
  </si>
  <si>
    <t>Método Newton-Raphson – Ejercicio 3</t>
  </si>
  <si>
    <t>f'(x) = 3x² - 2</t>
  </si>
  <si>
    <t>Método Newton-Raphson – Ejercicio 4</t>
  </si>
  <si>
    <t>f'(x) = 4x</t>
  </si>
  <si>
    <t>Método de la Secante – Ejercicio 1</t>
  </si>
  <si>
    <t>x₁:</t>
  </si>
  <si>
    <t>xₙ₋₁</t>
  </si>
  <si>
    <t>f(xₙ₋₁)</t>
  </si>
  <si>
    <t>xₙ₊₁ = xₙ - f(xₙ)(xₙ-xₙ₋₁)/(f(xₙ)-f(xₙ₋₁))</t>
  </si>
  <si>
    <t>Método de la Secante – Ejercicio 2</t>
  </si>
  <si>
    <t>Método de la Secante – Ejercicio 3</t>
  </si>
  <si>
    <t>Método de la Secante – Ejercicio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</si>
</sst>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0000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9" fontId="0" fillId="0" borderId="0" xfId="0" applyNumberForma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561975</xdr:colOff>
      <xdr:row>1</xdr:row>
      <xdr:rowOff>85726</xdr:rowOff>
    </xdr:from>
    <xdr:to>
      <xdr:col>13</xdr:col>
      <xdr:colOff>34427</xdr:colOff>
      <xdr:row>12</xdr:row>
      <xdr:rowOff>31083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C4D577-3EA3-BA27-14B3-5DCFAD912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4234" y="280816"/>
          <a:ext cx="2502091" cy="2458580"/>
        </a:xfrm>
        <a:prstGeom prst="rect">
          <a:avLst/>
        </a:prstGeom>
      </xdr:spPr>
    </xdr:pic>
    <xdr:clientData/>
  </xdr:twoCellAnchor>
  <xdr:twoCellAnchor editAs="oneCell">
    <xdr:from>
      <xdr:col>10</xdr:col>
      <xdr:colOff>34427</xdr:colOff>
      <xdr:row>19</xdr:row>
      <xdr:rowOff>151741</xdr:rowOff>
    </xdr:from>
    <xdr:to>
      <xdr:col>13</xdr:col>
      <xdr:colOff>688554</xdr:colOff>
      <xdr:row>31</xdr:row>
      <xdr:rowOff>30262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74E008-5D20-11D8-7FA2-445666B85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4096" y="4225687"/>
          <a:ext cx="2926356" cy="2586834"/>
        </a:xfrm>
        <a:prstGeom prst="rect">
          <a:avLst/>
        </a:prstGeom>
      </xdr:spPr>
    </xdr:pic>
    <xdr:clientData/>
  </xdr:twoCellAnchor>
  <xdr:twoCellAnchor editAs="oneCell">
    <xdr:from>
      <xdr:col>10</xdr:col>
      <xdr:colOff>286898</xdr:colOff>
      <xdr:row>36</xdr:row>
      <xdr:rowOff>22951</xdr:rowOff>
    </xdr:from>
    <xdr:to>
      <xdr:col>13</xdr:col>
      <xdr:colOff>218042</xdr:colOff>
      <xdr:row>48</xdr:row>
      <xdr:rowOff>184715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1557D1E-712B-FE0C-507C-D0C5CF8EC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6567" y="7780662"/>
          <a:ext cx="2203373" cy="287007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</xdr:row>
      <xdr:rowOff>114761</xdr:rowOff>
    </xdr:from>
    <xdr:to>
      <xdr:col>13</xdr:col>
      <xdr:colOff>206566</xdr:colOff>
      <xdr:row>64</xdr:row>
      <xdr:rowOff>11633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71FCCB5-A7A6-8C1F-3529-CFA89DC1C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39669" y="11166056"/>
          <a:ext cx="2478795" cy="2800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677333</xdr:colOff>
      <xdr:row>1</xdr:row>
      <xdr:rowOff>137583</xdr:rowOff>
    </xdr:from>
    <xdr:to>
      <xdr:col>13</xdr:col>
      <xdr:colOff>131424</xdr:colOff>
      <xdr:row>10</xdr:row>
      <xdr:rowOff>119663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167033-5557-4CFC-8277-9FFB8FA7B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5333" y="338666"/>
          <a:ext cx="2502091" cy="2458580"/>
        </a:xfrm>
        <a:prstGeom prst="rect">
          <a:avLst/>
        </a:prstGeom>
      </xdr:spPr>
    </xdr:pic>
    <xdr:clientData/>
  </xdr:twoCellAnchor>
  <xdr:twoCellAnchor editAs="oneCell">
    <xdr:from>
      <xdr:col>9</xdr:col>
      <xdr:colOff>497417</xdr:colOff>
      <xdr:row>17</xdr:row>
      <xdr:rowOff>169333</xdr:rowOff>
    </xdr:from>
    <xdr:to>
      <xdr:col>13</xdr:col>
      <xdr:colOff>375773</xdr:colOff>
      <xdr:row>27</xdr:row>
      <xdr:rowOff>89167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37BF4F-FC71-4C10-AFD5-5D48F7B7B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5417" y="4191000"/>
          <a:ext cx="2926356" cy="2586834"/>
        </a:xfrm>
        <a:prstGeom prst="rect">
          <a:avLst/>
        </a:prstGeom>
      </xdr:spPr>
    </xdr:pic>
    <xdr:clientData/>
  </xdr:twoCellAnchor>
  <xdr:twoCellAnchor editAs="oneCell">
    <xdr:from>
      <xdr:col>9</xdr:col>
      <xdr:colOff>402167</xdr:colOff>
      <xdr:row>32</xdr:row>
      <xdr:rowOff>127000</xdr:rowOff>
    </xdr:from>
    <xdr:to>
      <xdr:col>12</xdr:col>
      <xdr:colOff>319540</xdr:colOff>
      <xdr:row>43</xdr:row>
      <xdr:rowOff>128994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32C2F4-A310-4793-AD0D-88473E695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60167" y="7768167"/>
          <a:ext cx="2203373" cy="287007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12</xdr:col>
      <xdr:colOff>192795</xdr:colOff>
      <xdr:row>59</xdr:row>
      <xdr:rowOff>133276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CCF91DB-5A10-46DD-8FB8-2D4B91A99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0" y="11662833"/>
          <a:ext cx="2478795" cy="28002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733425</xdr:colOff>
      <xdr:row>1</xdr:row>
      <xdr:rowOff>47625</xdr:rowOff>
    </xdr:from>
    <xdr:to>
      <xdr:col>13</xdr:col>
      <xdr:colOff>610008</xdr:colOff>
      <xdr:row>12</xdr:row>
      <xdr:rowOff>339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DA85F4-7C30-72E8-7F21-47E04E905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238125"/>
          <a:ext cx="2924583" cy="2429214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15</xdr:row>
      <xdr:rowOff>161925</xdr:rowOff>
    </xdr:from>
    <xdr:to>
      <xdr:col>13</xdr:col>
      <xdr:colOff>221256</xdr:colOff>
      <xdr:row>27</xdr:row>
      <xdr:rowOff>72234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ED3DE-96B7-49A4-88CB-30C852E16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6175" y="3409950"/>
          <a:ext cx="2926356" cy="258683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11</xdr:col>
      <xdr:colOff>679373</xdr:colOff>
      <xdr:row>44</xdr:row>
      <xdr:rowOff>12577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950327-D226-44F8-B3B6-C8BA4A500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3275" y="6696075"/>
          <a:ext cx="2203373" cy="2870077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46</xdr:row>
      <xdr:rowOff>9525</xdr:rowOff>
    </xdr:from>
    <xdr:to>
      <xdr:col>11</xdr:col>
      <xdr:colOff>535695</xdr:colOff>
      <xdr:row>58</xdr:row>
      <xdr:rowOff>142801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1F8777B-E86E-445D-A782-675360D78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4175" y="9953625"/>
          <a:ext cx="2478795" cy="28002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2</xdr:row>
      <xdr:rowOff>57150</xdr:rowOff>
    </xdr:from>
    <xdr:to>
      <xdr:col>12</xdr:col>
      <xdr:colOff>606616</xdr:colOff>
      <xdr:row>11</xdr:row>
      <xdr:rowOff>39230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F1BB40-5895-4096-9F68-1B1C4F32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447675"/>
          <a:ext cx="2502091" cy="245858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13</xdr:col>
      <xdr:colOff>640356</xdr:colOff>
      <xdr:row>26</xdr:row>
      <xdr:rowOff>110334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A45D8-EC27-48FF-BF93-FAB644CB3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0" y="4019550"/>
          <a:ext cx="2926356" cy="2586834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31</xdr:row>
      <xdr:rowOff>104775</xdr:rowOff>
    </xdr:from>
    <xdr:to>
      <xdr:col>12</xdr:col>
      <xdr:colOff>298373</xdr:colOff>
      <xdr:row>42</xdr:row>
      <xdr:rowOff>117352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044C2A-8F19-4BE2-8580-3105D455C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1875" y="7562850"/>
          <a:ext cx="2203373" cy="287007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13</xdr:col>
      <xdr:colOff>192795</xdr:colOff>
      <xdr:row>56</xdr:row>
      <xdr:rowOff>133276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FB6BCB6-029C-430B-91CE-5E7CE96F8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62875" y="11087100"/>
          <a:ext cx="2478795" cy="280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181B-6084-4326-954A-9897F8B4B879}">
  <dimension ref="A1:H65"/>
  <sheetViews>
    <sheetView topLeftCell="A46" zoomScale="83" workbookViewId="0">
      <selection activeCell="K52" sqref="K52"/>
    </sheetView>
  </sheetViews>
  <sheetFormatPr baseColWidth="10" defaultRowHeight="15" x14ac:dyDescent="0.25"/>
  <cols>
    <col min="3" max="3" width="10.85546875" customWidth="1"/>
  </cols>
  <sheetData>
    <row r="1" spans="1:8" ht="15.75" x14ac:dyDescent="0.25">
      <c r="A1" s="1" t="s">
        <v>4</v>
      </c>
      <c r="B1" s="1"/>
      <c r="C1" s="1"/>
      <c r="D1" s="1"/>
      <c r="E1" s="1"/>
      <c r="F1" s="1"/>
      <c r="G1" s="1"/>
      <c r="H1" s="1"/>
    </row>
    <row r="2" spans="1:8" ht="15" customHeight="1" x14ac:dyDescent="0.25">
      <c r="A2" s="2" t="s">
        <v>5</v>
      </c>
      <c r="B2" s="3" t="s">
        <v>6</v>
      </c>
      <c r="C2" s="3"/>
      <c r="D2" s="3"/>
      <c r="E2" s="3"/>
      <c r="F2" s="3"/>
      <c r="G2" s="3"/>
      <c r="H2" s="3"/>
    </row>
    <row r="3" spans="1:8" x14ac:dyDescent="0.25">
      <c r="A3" s="2" t="s">
        <v>7</v>
      </c>
      <c r="B3" s="3">
        <v>1</v>
      </c>
      <c r="C3" s="3"/>
      <c r="D3" s="3"/>
      <c r="E3" s="3"/>
      <c r="F3" s="3"/>
      <c r="G3" s="3"/>
      <c r="H3" s="3"/>
    </row>
    <row r="4" spans="1:8" x14ac:dyDescent="0.25">
      <c r="A4" s="2" t="s">
        <v>8</v>
      </c>
      <c r="B4" s="3">
        <v>2</v>
      </c>
      <c r="C4" s="3"/>
      <c r="D4" s="3"/>
      <c r="E4" s="3"/>
      <c r="F4" s="3"/>
      <c r="G4" s="3"/>
      <c r="H4" s="3"/>
    </row>
    <row r="5" spans="1:8" ht="30" x14ac:dyDescent="0.25">
      <c r="A5" s="2" t="s">
        <v>9</v>
      </c>
      <c r="B5" s="3">
        <v>1E-3</v>
      </c>
      <c r="C5" s="3"/>
      <c r="D5" s="3"/>
      <c r="E5" s="3"/>
      <c r="F5" s="3"/>
      <c r="G5" s="3"/>
      <c r="H5" s="3"/>
    </row>
    <row r="6" spans="1:8" ht="30" x14ac:dyDescent="0.25">
      <c r="A6" s="4" t="s">
        <v>10</v>
      </c>
      <c r="B6" s="4" t="s">
        <v>0</v>
      </c>
      <c r="C6" s="4" t="s">
        <v>1</v>
      </c>
      <c r="D6" s="4" t="s">
        <v>11</v>
      </c>
      <c r="E6" s="4" t="s">
        <v>2</v>
      </c>
      <c r="F6" s="4" t="s">
        <v>12</v>
      </c>
      <c r="G6" s="4" t="s">
        <v>13</v>
      </c>
      <c r="H6" s="4" t="s">
        <v>14</v>
      </c>
    </row>
    <row r="7" spans="1:8" x14ac:dyDescent="0.25">
      <c r="A7" s="5">
        <v>1</v>
      </c>
      <c r="B7" s="6">
        <v>1</v>
      </c>
      <c r="C7" s="6">
        <f>$B$4</f>
        <v>2</v>
      </c>
      <c r="D7" s="6">
        <f t="shared" ref="D7:E14" si="0">B7^3-B7-1</f>
        <v>-1</v>
      </c>
      <c r="E7" s="6">
        <f t="shared" si="0"/>
        <v>5</v>
      </c>
      <c r="F7" s="6">
        <f t="shared" ref="F7:F14" si="1">(B7+C7)/2</f>
        <v>1.5</v>
      </c>
      <c r="G7" s="6">
        <f t="shared" ref="G7:G14" si="2">D7*(F7^3-F7-1)</f>
        <v>-0.875</v>
      </c>
      <c r="H7" s="6">
        <f t="shared" ref="H7:H14" si="3">ABS(C7-B7)</f>
        <v>1</v>
      </c>
    </row>
    <row r="8" spans="1:8" x14ac:dyDescent="0.25">
      <c r="A8" s="5">
        <v>2</v>
      </c>
      <c r="B8" s="7">
        <f t="shared" ref="B8:B14" si="4">IF(H7&lt;0,B7,F7)</f>
        <v>1.5</v>
      </c>
      <c r="C8" s="7">
        <f t="shared" ref="C8:C14" si="5">IF(H7&lt;0,F7,C7)</f>
        <v>2</v>
      </c>
      <c r="D8" s="7">
        <f t="shared" si="0"/>
        <v>0.875</v>
      </c>
      <c r="E8" s="7">
        <f t="shared" si="0"/>
        <v>5</v>
      </c>
      <c r="F8" s="7">
        <f t="shared" si="1"/>
        <v>1.75</v>
      </c>
      <c r="G8" s="7">
        <f t="shared" si="2"/>
        <v>2.283203125</v>
      </c>
      <c r="H8" s="7">
        <f t="shared" si="3"/>
        <v>0.5</v>
      </c>
    </row>
    <row r="9" spans="1:8" x14ac:dyDescent="0.25">
      <c r="A9" s="5">
        <v>3</v>
      </c>
      <c r="B9" s="6">
        <f t="shared" si="4"/>
        <v>1.75</v>
      </c>
      <c r="C9" s="6">
        <f t="shared" si="5"/>
        <v>2</v>
      </c>
      <c r="D9" s="6">
        <f t="shared" si="0"/>
        <v>2.609375</v>
      </c>
      <c r="E9" s="6">
        <f t="shared" si="0"/>
        <v>5</v>
      </c>
      <c r="F9" s="6">
        <f t="shared" si="1"/>
        <v>1.875</v>
      </c>
      <c r="G9" s="6">
        <f t="shared" si="2"/>
        <v>9.698516845703125</v>
      </c>
      <c r="H9" s="6">
        <f t="shared" si="3"/>
        <v>0.25</v>
      </c>
    </row>
    <row r="10" spans="1:8" x14ac:dyDescent="0.25">
      <c r="A10" s="5">
        <v>4</v>
      </c>
      <c r="B10" s="7">
        <f t="shared" si="4"/>
        <v>1.875</v>
      </c>
      <c r="C10" s="7">
        <f t="shared" si="5"/>
        <v>2</v>
      </c>
      <c r="D10" s="7">
        <f t="shared" si="0"/>
        <v>3.716796875</v>
      </c>
      <c r="E10" s="7">
        <f t="shared" si="0"/>
        <v>5</v>
      </c>
      <c r="F10" s="7">
        <f t="shared" si="1"/>
        <v>1.9375</v>
      </c>
      <c r="G10" s="7">
        <f t="shared" si="2"/>
        <v>16.114891529083252</v>
      </c>
      <c r="H10" s="7">
        <f t="shared" si="3"/>
        <v>0.125</v>
      </c>
    </row>
    <row r="11" spans="1:8" x14ac:dyDescent="0.25">
      <c r="A11" s="5">
        <v>5</v>
      </c>
      <c r="B11" s="6">
        <f t="shared" si="4"/>
        <v>1.9375</v>
      </c>
      <c r="C11" s="6">
        <f t="shared" si="5"/>
        <v>2</v>
      </c>
      <c r="D11" s="6">
        <f t="shared" si="0"/>
        <v>4.335693359375</v>
      </c>
      <c r="E11" s="6">
        <f t="shared" si="0"/>
        <v>5</v>
      </c>
      <c r="F11" s="6">
        <f t="shared" si="1"/>
        <v>1.96875</v>
      </c>
      <c r="G11" s="6">
        <f t="shared" si="2"/>
        <v>20.213344343006611</v>
      </c>
      <c r="H11" s="6">
        <f t="shared" si="3"/>
        <v>6.25E-2</v>
      </c>
    </row>
    <row r="12" spans="1:8" x14ac:dyDescent="0.25">
      <c r="A12" s="5">
        <v>6</v>
      </c>
      <c r="B12" s="7">
        <f t="shared" si="4"/>
        <v>1.96875</v>
      </c>
      <c r="C12" s="7">
        <f t="shared" si="5"/>
        <v>2</v>
      </c>
      <c r="D12" s="7">
        <f t="shared" si="0"/>
        <v>4.662078857421875</v>
      </c>
      <c r="E12" s="7">
        <f t="shared" si="0"/>
        <v>5</v>
      </c>
      <c r="F12" s="7">
        <f t="shared" si="1"/>
        <v>1.984375</v>
      </c>
      <c r="G12" s="7">
        <f t="shared" si="2"/>
        <v>22.515910916146822</v>
      </c>
      <c r="H12" s="7">
        <f t="shared" si="3"/>
        <v>3.125E-2</v>
      </c>
    </row>
    <row r="13" spans="1:8" x14ac:dyDescent="0.25">
      <c r="A13" s="5">
        <v>7</v>
      </c>
      <c r="B13" s="6">
        <f t="shared" si="4"/>
        <v>1.984375</v>
      </c>
      <c r="C13" s="6">
        <f t="shared" si="5"/>
        <v>2</v>
      </c>
      <c r="D13" s="6">
        <f t="shared" si="0"/>
        <v>4.8295860290527344</v>
      </c>
      <c r="E13" s="6">
        <f t="shared" si="0"/>
        <v>5</v>
      </c>
      <c r="F13" s="6">
        <f t="shared" si="1"/>
        <v>1.9921875</v>
      </c>
      <c r="G13" s="6">
        <f t="shared" si="2"/>
        <v>23.734653940193311</v>
      </c>
      <c r="H13" s="6">
        <f t="shared" si="3"/>
        <v>1.5625E-2</v>
      </c>
    </row>
    <row r="14" spans="1:8" x14ac:dyDescent="0.25">
      <c r="A14" s="5">
        <v>8</v>
      </c>
      <c r="B14" s="7">
        <f t="shared" si="4"/>
        <v>1.9921875</v>
      </c>
      <c r="C14" s="7">
        <f t="shared" si="5"/>
        <v>2</v>
      </c>
      <c r="D14" s="7">
        <f t="shared" si="0"/>
        <v>4.9144282341003418</v>
      </c>
      <c r="E14" s="7">
        <f t="shared" si="0"/>
        <v>5</v>
      </c>
      <c r="F14" s="7">
        <f t="shared" si="1"/>
        <v>1.99609375</v>
      </c>
      <c r="G14" s="7">
        <f t="shared" si="2"/>
        <v>24.361423968737682</v>
      </c>
      <c r="H14" s="7">
        <f t="shared" si="3"/>
        <v>7.8125E-3</v>
      </c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9"/>
      <c r="D17" s="8"/>
      <c r="E17" s="8"/>
      <c r="F17" s="8"/>
      <c r="G17" s="8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  <row r="19" spans="1:8" x14ac:dyDescent="0.25">
      <c r="A19" s="8"/>
      <c r="B19" s="8"/>
      <c r="C19" s="8"/>
      <c r="D19" s="8"/>
      <c r="E19" s="8"/>
      <c r="F19" s="8"/>
      <c r="G19" s="8"/>
      <c r="H19" s="8"/>
    </row>
    <row r="20" spans="1:8" ht="15.75" x14ac:dyDescent="0.25">
      <c r="A20" s="1" t="s">
        <v>15</v>
      </c>
      <c r="B20" s="1"/>
      <c r="C20" s="1"/>
      <c r="D20" s="1"/>
      <c r="E20" s="1"/>
      <c r="F20" s="1"/>
      <c r="G20" s="1"/>
      <c r="H20" s="1"/>
    </row>
    <row r="21" spans="1:8" x14ac:dyDescent="0.25">
      <c r="A21" s="2" t="s">
        <v>5</v>
      </c>
      <c r="B21" s="3" t="s">
        <v>16</v>
      </c>
      <c r="C21" s="3"/>
      <c r="D21" s="3"/>
      <c r="E21" s="3"/>
      <c r="F21" s="3"/>
      <c r="G21" s="3"/>
      <c r="H21" s="3"/>
    </row>
    <row r="22" spans="1:8" x14ac:dyDescent="0.25">
      <c r="A22" s="2" t="s">
        <v>7</v>
      </c>
      <c r="B22" s="3">
        <v>1</v>
      </c>
      <c r="C22" s="3"/>
      <c r="D22" s="3"/>
      <c r="E22" s="3"/>
      <c r="F22" s="3"/>
      <c r="G22" s="3"/>
      <c r="H22" s="3"/>
    </row>
    <row r="23" spans="1:8" x14ac:dyDescent="0.25">
      <c r="A23" s="2" t="s">
        <v>8</v>
      </c>
      <c r="B23" s="3">
        <v>2</v>
      </c>
      <c r="C23" s="3"/>
      <c r="D23" s="3"/>
      <c r="E23" s="3"/>
      <c r="F23" s="3"/>
      <c r="G23" s="3"/>
      <c r="H23" s="3"/>
    </row>
    <row r="24" spans="1:8" ht="30" x14ac:dyDescent="0.25">
      <c r="A24" s="2" t="s">
        <v>9</v>
      </c>
      <c r="B24" s="3">
        <v>1E-3</v>
      </c>
      <c r="C24" s="3"/>
      <c r="D24" s="3"/>
      <c r="E24" s="3"/>
      <c r="F24" s="3"/>
      <c r="G24" s="3"/>
      <c r="H24" s="3"/>
    </row>
    <row r="25" spans="1:8" ht="30" x14ac:dyDescent="0.25">
      <c r="A25" s="4" t="s">
        <v>10</v>
      </c>
      <c r="B25" s="4" t="s">
        <v>0</v>
      </c>
      <c r="C25" s="4" t="s">
        <v>1</v>
      </c>
      <c r="D25" s="4" t="s">
        <v>11</v>
      </c>
      <c r="E25" s="4" t="s">
        <v>2</v>
      </c>
      <c r="F25" s="4" t="s">
        <v>12</v>
      </c>
      <c r="G25" s="4" t="s">
        <v>13</v>
      </c>
      <c r="H25" s="4" t="s">
        <v>14</v>
      </c>
    </row>
    <row r="26" spans="1:8" x14ac:dyDescent="0.25">
      <c r="A26" s="5">
        <v>1</v>
      </c>
      <c r="B26" s="6">
        <f>$B$19</f>
        <v>0</v>
      </c>
      <c r="C26" s="6">
        <f>$B$20</f>
        <v>0</v>
      </c>
      <c r="D26" s="6">
        <f t="shared" ref="D26:E33" si="6">B26^2-2</f>
        <v>-2</v>
      </c>
      <c r="E26" s="6">
        <f t="shared" si="6"/>
        <v>-2</v>
      </c>
      <c r="F26" s="6">
        <f t="shared" ref="F26:F33" si="7">(B26+C26)/2</f>
        <v>0</v>
      </c>
      <c r="G26" s="6">
        <f t="shared" ref="G26:G33" si="8">D26*(F26^2-2)</f>
        <v>4</v>
      </c>
      <c r="H26" s="6">
        <f t="shared" ref="H26:H33" si="9">ABS(C26-B26)</f>
        <v>0</v>
      </c>
    </row>
    <row r="27" spans="1:8" x14ac:dyDescent="0.25">
      <c r="A27" s="5">
        <v>2</v>
      </c>
      <c r="B27" s="7">
        <f t="shared" ref="B27:B33" si="10">IF(H26&lt;0,B26,F26)</f>
        <v>0</v>
      </c>
      <c r="C27" s="7">
        <f t="shared" ref="C27:C33" si="11">IF(H26&lt;0,F26,C26)</f>
        <v>0</v>
      </c>
      <c r="D27" s="7">
        <f t="shared" si="6"/>
        <v>-2</v>
      </c>
      <c r="E27" s="7">
        <f t="shared" si="6"/>
        <v>-2</v>
      </c>
      <c r="F27" s="7">
        <f t="shared" si="7"/>
        <v>0</v>
      </c>
      <c r="G27" s="7">
        <f t="shared" si="8"/>
        <v>4</v>
      </c>
      <c r="H27" s="7">
        <f t="shared" si="9"/>
        <v>0</v>
      </c>
    </row>
    <row r="28" spans="1:8" x14ac:dyDescent="0.25">
      <c r="A28" s="5">
        <v>3</v>
      </c>
      <c r="B28" s="6">
        <f t="shared" si="10"/>
        <v>0</v>
      </c>
      <c r="C28" s="6">
        <f t="shared" si="11"/>
        <v>0</v>
      </c>
      <c r="D28" s="6">
        <f t="shared" si="6"/>
        <v>-2</v>
      </c>
      <c r="E28" s="6">
        <f t="shared" si="6"/>
        <v>-2</v>
      </c>
      <c r="F28" s="6">
        <f t="shared" si="7"/>
        <v>0</v>
      </c>
      <c r="G28" s="6">
        <f t="shared" si="8"/>
        <v>4</v>
      </c>
      <c r="H28" s="6">
        <f t="shared" si="9"/>
        <v>0</v>
      </c>
    </row>
    <row r="29" spans="1:8" x14ac:dyDescent="0.25">
      <c r="A29" s="5">
        <v>4</v>
      </c>
      <c r="B29" s="7">
        <f t="shared" si="10"/>
        <v>0</v>
      </c>
      <c r="C29" s="7">
        <f t="shared" si="11"/>
        <v>0</v>
      </c>
      <c r="D29" s="7">
        <f t="shared" si="6"/>
        <v>-2</v>
      </c>
      <c r="E29" s="7">
        <f t="shared" si="6"/>
        <v>-2</v>
      </c>
      <c r="F29" s="7">
        <f t="shared" si="7"/>
        <v>0</v>
      </c>
      <c r="G29" s="7">
        <f t="shared" si="8"/>
        <v>4</v>
      </c>
      <c r="H29" s="7">
        <f t="shared" si="9"/>
        <v>0</v>
      </c>
    </row>
    <row r="30" spans="1:8" x14ac:dyDescent="0.25">
      <c r="A30" s="5">
        <v>5</v>
      </c>
      <c r="B30" s="6">
        <f t="shared" si="10"/>
        <v>0</v>
      </c>
      <c r="C30" s="6">
        <f t="shared" si="11"/>
        <v>0</v>
      </c>
      <c r="D30" s="6">
        <f t="shared" si="6"/>
        <v>-2</v>
      </c>
      <c r="E30" s="6">
        <f t="shared" si="6"/>
        <v>-2</v>
      </c>
      <c r="F30" s="6">
        <f t="shared" si="7"/>
        <v>0</v>
      </c>
      <c r="G30" s="6">
        <f t="shared" si="8"/>
        <v>4</v>
      </c>
      <c r="H30" s="6">
        <f t="shared" si="9"/>
        <v>0</v>
      </c>
    </row>
    <row r="31" spans="1:8" x14ac:dyDescent="0.25">
      <c r="A31" s="5">
        <v>6</v>
      </c>
      <c r="B31" s="7">
        <f t="shared" si="10"/>
        <v>0</v>
      </c>
      <c r="C31" s="7">
        <f t="shared" si="11"/>
        <v>0</v>
      </c>
      <c r="D31" s="7">
        <f t="shared" si="6"/>
        <v>-2</v>
      </c>
      <c r="E31" s="7">
        <f t="shared" si="6"/>
        <v>-2</v>
      </c>
      <c r="F31" s="7">
        <f t="shared" si="7"/>
        <v>0</v>
      </c>
      <c r="G31" s="7">
        <f t="shared" si="8"/>
        <v>4</v>
      </c>
      <c r="H31" s="7">
        <f t="shared" si="9"/>
        <v>0</v>
      </c>
    </row>
    <row r="32" spans="1:8" x14ac:dyDescent="0.25">
      <c r="A32" s="5">
        <v>7</v>
      </c>
      <c r="B32" s="6">
        <f t="shared" si="10"/>
        <v>0</v>
      </c>
      <c r="C32" s="6">
        <f t="shared" si="11"/>
        <v>0</v>
      </c>
      <c r="D32" s="6">
        <f t="shared" si="6"/>
        <v>-2</v>
      </c>
      <c r="E32" s="6">
        <f t="shared" si="6"/>
        <v>-2</v>
      </c>
      <c r="F32" s="6">
        <f t="shared" si="7"/>
        <v>0</v>
      </c>
      <c r="G32" s="6">
        <f t="shared" si="8"/>
        <v>4</v>
      </c>
      <c r="H32" s="6">
        <f t="shared" si="9"/>
        <v>0</v>
      </c>
    </row>
    <row r="33" spans="1:8" x14ac:dyDescent="0.25">
      <c r="A33" s="5">
        <v>8</v>
      </c>
      <c r="B33" s="7">
        <f t="shared" si="10"/>
        <v>0</v>
      </c>
      <c r="C33" s="7">
        <f t="shared" si="11"/>
        <v>0</v>
      </c>
      <c r="D33" s="7">
        <f t="shared" si="6"/>
        <v>-2</v>
      </c>
      <c r="E33" s="7">
        <f t="shared" si="6"/>
        <v>-2</v>
      </c>
      <c r="F33" s="7">
        <f t="shared" si="7"/>
        <v>0</v>
      </c>
      <c r="G33" s="7">
        <f t="shared" si="8"/>
        <v>4</v>
      </c>
      <c r="H33" s="7">
        <f t="shared" si="9"/>
        <v>0</v>
      </c>
    </row>
    <row r="36" spans="1:8" ht="15.75" x14ac:dyDescent="0.25">
      <c r="A36" s="1" t="s">
        <v>17</v>
      </c>
      <c r="B36" s="1"/>
      <c r="C36" s="1"/>
      <c r="D36" s="1"/>
      <c r="E36" s="1"/>
      <c r="F36" s="1"/>
      <c r="G36" s="1"/>
      <c r="H36" s="1"/>
    </row>
    <row r="37" spans="1:8" x14ac:dyDescent="0.25">
      <c r="A37" s="2" t="s">
        <v>5</v>
      </c>
      <c r="B37" s="3" t="s">
        <v>18</v>
      </c>
      <c r="C37" s="3"/>
      <c r="D37" s="3"/>
      <c r="E37" s="3"/>
      <c r="F37" s="3"/>
      <c r="G37" s="3"/>
      <c r="H37" s="3"/>
    </row>
    <row r="38" spans="1:8" x14ac:dyDescent="0.25">
      <c r="A38" s="2" t="s">
        <v>7</v>
      </c>
      <c r="B38" s="3">
        <v>2</v>
      </c>
      <c r="C38" s="3"/>
      <c r="D38" s="3"/>
      <c r="E38" s="3"/>
      <c r="F38" s="3"/>
      <c r="G38" s="3"/>
      <c r="H38" s="3"/>
    </row>
    <row r="39" spans="1:8" x14ac:dyDescent="0.25">
      <c r="A39" s="2" t="s">
        <v>8</v>
      </c>
      <c r="B39" s="3">
        <v>3</v>
      </c>
      <c r="C39" s="3"/>
      <c r="D39" s="3"/>
      <c r="E39" s="3"/>
      <c r="F39" s="3"/>
      <c r="G39" s="3"/>
      <c r="H39" s="3"/>
    </row>
    <row r="40" spans="1:8" ht="30" x14ac:dyDescent="0.25">
      <c r="A40" s="2" t="s">
        <v>9</v>
      </c>
      <c r="B40" s="3">
        <v>1E-3</v>
      </c>
      <c r="C40" s="3"/>
      <c r="D40" s="3"/>
      <c r="E40" s="3"/>
      <c r="F40" s="3"/>
      <c r="G40" s="3"/>
      <c r="H40" s="3"/>
    </row>
    <row r="41" spans="1:8" ht="30" x14ac:dyDescent="0.25">
      <c r="A41" s="4" t="s">
        <v>10</v>
      </c>
      <c r="B41" s="4" t="s">
        <v>0</v>
      </c>
      <c r="C41" s="4" t="s">
        <v>1</v>
      </c>
      <c r="D41" s="4" t="s">
        <v>11</v>
      </c>
      <c r="E41" s="4" t="s">
        <v>2</v>
      </c>
      <c r="F41" s="4" t="s">
        <v>12</v>
      </c>
      <c r="G41" s="4" t="s">
        <v>13</v>
      </c>
      <c r="H41" s="4" t="s">
        <v>14</v>
      </c>
    </row>
    <row r="42" spans="1:8" x14ac:dyDescent="0.25">
      <c r="A42" s="5">
        <v>1</v>
      </c>
      <c r="B42" s="6">
        <f>$B$35</f>
        <v>0</v>
      </c>
      <c r="C42" s="6">
        <f>$B$36</f>
        <v>0</v>
      </c>
      <c r="D42" s="6">
        <f t="shared" ref="D42:E49" si="12">B42^3-2*B42-5</f>
        <v>-5</v>
      </c>
      <c r="E42" s="6">
        <f t="shared" si="12"/>
        <v>-5</v>
      </c>
      <c r="F42" s="6">
        <f t="shared" ref="F42:F49" si="13">(B42+C42)/2</f>
        <v>0</v>
      </c>
      <c r="G42" s="6">
        <f t="shared" ref="G42:G49" si="14">D42*(F42^3-2*F42-5)</f>
        <v>25</v>
      </c>
      <c r="H42" s="6">
        <f t="shared" ref="H42:H49" si="15">ABS(C42-B42)</f>
        <v>0</v>
      </c>
    </row>
    <row r="43" spans="1:8" x14ac:dyDescent="0.25">
      <c r="A43" s="5">
        <v>2</v>
      </c>
      <c r="B43" s="7">
        <f t="shared" ref="B43:B49" si="16">IF(H42&lt;0,B42,F42)</f>
        <v>0</v>
      </c>
      <c r="C43" s="7">
        <f t="shared" ref="C43:C49" si="17">IF(H42&lt;0,F42,C42)</f>
        <v>0</v>
      </c>
      <c r="D43" s="7">
        <f t="shared" si="12"/>
        <v>-5</v>
      </c>
      <c r="E43" s="7">
        <f t="shared" si="12"/>
        <v>-5</v>
      </c>
      <c r="F43" s="7">
        <f t="shared" si="13"/>
        <v>0</v>
      </c>
      <c r="G43" s="7">
        <f t="shared" si="14"/>
        <v>25</v>
      </c>
      <c r="H43" s="7">
        <f t="shared" si="15"/>
        <v>0</v>
      </c>
    </row>
    <row r="44" spans="1:8" x14ac:dyDescent="0.25">
      <c r="A44" s="5">
        <v>3</v>
      </c>
      <c r="B44" s="6">
        <f t="shared" si="16"/>
        <v>0</v>
      </c>
      <c r="C44" s="6">
        <f t="shared" si="17"/>
        <v>0</v>
      </c>
      <c r="D44" s="6">
        <f t="shared" si="12"/>
        <v>-5</v>
      </c>
      <c r="E44" s="6">
        <f t="shared" si="12"/>
        <v>-5</v>
      </c>
      <c r="F44" s="6">
        <f t="shared" si="13"/>
        <v>0</v>
      </c>
      <c r="G44" s="6">
        <f t="shared" si="14"/>
        <v>25</v>
      </c>
      <c r="H44" s="6">
        <f t="shared" si="15"/>
        <v>0</v>
      </c>
    </row>
    <row r="45" spans="1:8" x14ac:dyDescent="0.25">
      <c r="A45" s="5">
        <v>4</v>
      </c>
      <c r="B45" s="7">
        <f t="shared" si="16"/>
        <v>0</v>
      </c>
      <c r="C45" s="7">
        <f t="shared" si="17"/>
        <v>0</v>
      </c>
      <c r="D45" s="7">
        <f t="shared" si="12"/>
        <v>-5</v>
      </c>
      <c r="E45" s="7">
        <f t="shared" si="12"/>
        <v>-5</v>
      </c>
      <c r="F45" s="7">
        <f t="shared" si="13"/>
        <v>0</v>
      </c>
      <c r="G45" s="7">
        <f t="shared" si="14"/>
        <v>25</v>
      </c>
      <c r="H45" s="7">
        <f t="shared" si="15"/>
        <v>0</v>
      </c>
    </row>
    <row r="46" spans="1:8" x14ac:dyDescent="0.25">
      <c r="A46" s="5">
        <v>5</v>
      </c>
      <c r="B46" s="6">
        <f t="shared" si="16"/>
        <v>0</v>
      </c>
      <c r="C46" s="6">
        <f t="shared" si="17"/>
        <v>0</v>
      </c>
      <c r="D46" s="6">
        <f t="shared" si="12"/>
        <v>-5</v>
      </c>
      <c r="E46" s="6">
        <f t="shared" si="12"/>
        <v>-5</v>
      </c>
      <c r="F46" s="6">
        <f t="shared" si="13"/>
        <v>0</v>
      </c>
      <c r="G46" s="6">
        <f t="shared" si="14"/>
        <v>25</v>
      </c>
      <c r="H46" s="6">
        <f t="shared" si="15"/>
        <v>0</v>
      </c>
    </row>
    <row r="47" spans="1:8" x14ac:dyDescent="0.25">
      <c r="A47" s="5">
        <v>6</v>
      </c>
      <c r="B47" s="7">
        <f t="shared" si="16"/>
        <v>0</v>
      </c>
      <c r="C47" s="7">
        <f t="shared" si="17"/>
        <v>0</v>
      </c>
      <c r="D47" s="7">
        <f t="shared" si="12"/>
        <v>-5</v>
      </c>
      <c r="E47" s="7">
        <f t="shared" si="12"/>
        <v>-5</v>
      </c>
      <c r="F47" s="7">
        <f t="shared" si="13"/>
        <v>0</v>
      </c>
      <c r="G47" s="7">
        <f t="shared" si="14"/>
        <v>25</v>
      </c>
      <c r="H47" s="7">
        <f t="shared" si="15"/>
        <v>0</v>
      </c>
    </row>
    <row r="48" spans="1:8" x14ac:dyDescent="0.25">
      <c r="A48" s="5">
        <v>7</v>
      </c>
      <c r="B48" s="6">
        <f t="shared" si="16"/>
        <v>0</v>
      </c>
      <c r="C48" s="6">
        <f t="shared" si="17"/>
        <v>0</v>
      </c>
      <c r="D48" s="6">
        <f t="shared" si="12"/>
        <v>-5</v>
      </c>
      <c r="E48" s="6">
        <f t="shared" si="12"/>
        <v>-5</v>
      </c>
      <c r="F48" s="6">
        <f t="shared" si="13"/>
        <v>0</v>
      </c>
      <c r="G48" s="6">
        <f t="shared" si="14"/>
        <v>25</v>
      </c>
      <c r="H48" s="6">
        <f t="shared" si="15"/>
        <v>0</v>
      </c>
    </row>
    <row r="49" spans="1:8" x14ac:dyDescent="0.25">
      <c r="A49" s="5">
        <v>8</v>
      </c>
      <c r="B49" s="7">
        <f t="shared" si="16"/>
        <v>0</v>
      </c>
      <c r="C49" s="7">
        <f t="shared" si="17"/>
        <v>0</v>
      </c>
      <c r="D49" s="7">
        <f t="shared" si="12"/>
        <v>-5</v>
      </c>
      <c r="E49" s="7">
        <f t="shared" si="12"/>
        <v>-5</v>
      </c>
      <c r="F49" s="7">
        <f t="shared" si="13"/>
        <v>0</v>
      </c>
      <c r="G49" s="7">
        <f t="shared" si="14"/>
        <v>25</v>
      </c>
      <c r="H49" s="7">
        <f t="shared" si="15"/>
        <v>0</v>
      </c>
    </row>
    <row r="52" spans="1:8" ht="15.75" x14ac:dyDescent="0.25">
      <c r="A52" s="1" t="s">
        <v>19</v>
      </c>
      <c r="B52" s="1"/>
      <c r="C52" s="1"/>
      <c r="D52" s="1"/>
      <c r="E52" s="1"/>
      <c r="F52" s="1"/>
      <c r="G52" s="1"/>
      <c r="H52" s="1"/>
    </row>
    <row r="53" spans="1:8" x14ac:dyDescent="0.25">
      <c r="A53" s="2" t="s">
        <v>5</v>
      </c>
      <c r="B53" s="3" t="s">
        <v>20</v>
      </c>
      <c r="C53" s="3"/>
      <c r="D53" s="3"/>
      <c r="E53" s="3"/>
      <c r="F53" s="3"/>
      <c r="G53" s="3"/>
      <c r="H53" s="3"/>
    </row>
    <row r="54" spans="1:8" x14ac:dyDescent="0.25">
      <c r="A54" s="2" t="s">
        <v>7</v>
      </c>
      <c r="B54" s="3">
        <v>0.9</v>
      </c>
      <c r="C54" s="3"/>
      <c r="D54" s="3"/>
      <c r="E54" s="3"/>
      <c r="F54" s="3"/>
      <c r="G54" s="3"/>
      <c r="H54" s="3"/>
    </row>
    <row r="55" spans="1:8" x14ac:dyDescent="0.25">
      <c r="A55" s="2" t="s">
        <v>8</v>
      </c>
      <c r="B55" s="3">
        <v>1.5</v>
      </c>
      <c r="C55" s="3"/>
      <c r="D55" s="3"/>
      <c r="E55" s="3"/>
      <c r="F55" s="3"/>
      <c r="G55" s="3"/>
      <c r="H55" s="3"/>
    </row>
    <row r="56" spans="1:8" ht="30" x14ac:dyDescent="0.25">
      <c r="A56" s="2" t="s">
        <v>9</v>
      </c>
      <c r="B56" s="3">
        <v>1E-3</v>
      </c>
      <c r="C56" s="3"/>
      <c r="D56" s="3"/>
      <c r="E56" s="3"/>
      <c r="F56" s="3"/>
      <c r="G56" s="3"/>
      <c r="H56" s="3"/>
    </row>
    <row r="57" spans="1:8" ht="30" x14ac:dyDescent="0.25">
      <c r="A57" s="4" t="s">
        <v>10</v>
      </c>
      <c r="B57" s="4" t="s">
        <v>0</v>
      </c>
      <c r="C57" s="4" t="s">
        <v>1</v>
      </c>
      <c r="D57" s="4" t="s">
        <v>11</v>
      </c>
      <c r="E57" s="4" t="s">
        <v>2</v>
      </c>
      <c r="F57" s="4" t="s">
        <v>12</v>
      </c>
      <c r="G57" s="4" t="s">
        <v>13</v>
      </c>
      <c r="H57" s="4" t="s">
        <v>14</v>
      </c>
    </row>
    <row r="58" spans="1:8" x14ac:dyDescent="0.25">
      <c r="A58" s="5">
        <v>1</v>
      </c>
      <c r="B58" s="6">
        <f>$B$51</f>
        <v>0</v>
      </c>
      <c r="C58" s="6">
        <f>$B$52</f>
        <v>0</v>
      </c>
      <c r="D58" s="6">
        <f t="shared" ref="D58:E65" si="18">2*B58^2-3</f>
        <v>-3</v>
      </c>
      <c r="E58" s="6">
        <f t="shared" si="18"/>
        <v>-3</v>
      </c>
      <c r="F58" s="6">
        <f t="shared" ref="F58:F65" si="19">(B58+C58)/2</f>
        <v>0</v>
      </c>
      <c r="G58" s="6">
        <f t="shared" ref="G58:G65" si="20">D58*(2*F58^2-3)</f>
        <v>9</v>
      </c>
      <c r="H58" s="6">
        <f t="shared" ref="H58:H65" si="21">ABS(C58-B58)</f>
        <v>0</v>
      </c>
    </row>
    <row r="59" spans="1:8" x14ac:dyDescent="0.25">
      <c r="A59" s="5">
        <v>2</v>
      </c>
      <c r="B59" s="7">
        <f t="shared" ref="B59:B65" si="22">IF(H58&lt;0,B58,F58)</f>
        <v>0</v>
      </c>
      <c r="C59" s="7">
        <f t="shared" ref="C59:C65" si="23">IF(H58&lt;0,F58,C58)</f>
        <v>0</v>
      </c>
      <c r="D59" s="7">
        <f t="shared" si="18"/>
        <v>-3</v>
      </c>
      <c r="E59" s="7">
        <f t="shared" si="18"/>
        <v>-3</v>
      </c>
      <c r="F59" s="7">
        <f t="shared" si="19"/>
        <v>0</v>
      </c>
      <c r="G59" s="7">
        <f t="shared" si="20"/>
        <v>9</v>
      </c>
      <c r="H59" s="7">
        <f t="shared" si="21"/>
        <v>0</v>
      </c>
    </row>
    <row r="60" spans="1:8" x14ac:dyDescent="0.25">
      <c r="A60" s="5">
        <v>3</v>
      </c>
      <c r="B60" s="6">
        <f t="shared" si="22"/>
        <v>0</v>
      </c>
      <c r="C60" s="6">
        <f t="shared" si="23"/>
        <v>0</v>
      </c>
      <c r="D60" s="6">
        <f t="shared" si="18"/>
        <v>-3</v>
      </c>
      <c r="E60" s="6">
        <f t="shared" si="18"/>
        <v>-3</v>
      </c>
      <c r="F60" s="6">
        <f t="shared" si="19"/>
        <v>0</v>
      </c>
      <c r="G60" s="6">
        <f t="shared" si="20"/>
        <v>9</v>
      </c>
      <c r="H60" s="6">
        <f t="shared" si="21"/>
        <v>0</v>
      </c>
    </row>
    <row r="61" spans="1:8" x14ac:dyDescent="0.25">
      <c r="A61" s="5">
        <v>4</v>
      </c>
      <c r="B61" s="7">
        <f t="shared" si="22"/>
        <v>0</v>
      </c>
      <c r="C61" s="7">
        <f t="shared" si="23"/>
        <v>0</v>
      </c>
      <c r="D61" s="7">
        <f t="shared" si="18"/>
        <v>-3</v>
      </c>
      <c r="E61" s="7">
        <f t="shared" si="18"/>
        <v>-3</v>
      </c>
      <c r="F61" s="7">
        <f t="shared" si="19"/>
        <v>0</v>
      </c>
      <c r="G61" s="7">
        <f t="shared" si="20"/>
        <v>9</v>
      </c>
      <c r="H61" s="7">
        <f t="shared" si="21"/>
        <v>0</v>
      </c>
    </row>
    <row r="62" spans="1:8" x14ac:dyDescent="0.25">
      <c r="A62" s="5">
        <v>5</v>
      </c>
      <c r="B62" s="6">
        <f t="shared" si="22"/>
        <v>0</v>
      </c>
      <c r="C62" s="6">
        <f t="shared" si="23"/>
        <v>0</v>
      </c>
      <c r="D62" s="6">
        <f t="shared" si="18"/>
        <v>-3</v>
      </c>
      <c r="E62" s="6">
        <f t="shared" si="18"/>
        <v>-3</v>
      </c>
      <c r="F62" s="6">
        <f t="shared" si="19"/>
        <v>0</v>
      </c>
      <c r="G62" s="6">
        <f t="shared" si="20"/>
        <v>9</v>
      </c>
      <c r="H62" s="6">
        <f t="shared" si="21"/>
        <v>0</v>
      </c>
    </row>
    <row r="63" spans="1:8" x14ac:dyDescent="0.25">
      <c r="A63" s="5">
        <v>6</v>
      </c>
      <c r="B63" s="7">
        <f t="shared" si="22"/>
        <v>0</v>
      </c>
      <c r="C63" s="7">
        <f t="shared" si="23"/>
        <v>0</v>
      </c>
      <c r="D63" s="7">
        <f t="shared" si="18"/>
        <v>-3</v>
      </c>
      <c r="E63" s="7">
        <f t="shared" si="18"/>
        <v>-3</v>
      </c>
      <c r="F63" s="7">
        <f t="shared" si="19"/>
        <v>0</v>
      </c>
      <c r="G63" s="7">
        <f t="shared" si="20"/>
        <v>9</v>
      </c>
      <c r="H63" s="7">
        <f t="shared" si="21"/>
        <v>0</v>
      </c>
    </row>
    <row r="64" spans="1:8" x14ac:dyDescent="0.25">
      <c r="A64" s="5">
        <v>7</v>
      </c>
      <c r="B64" s="6">
        <f t="shared" si="22"/>
        <v>0</v>
      </c>
      <c r="C64" s="6">
        <f t="shared" si="23"/>
        <v>0</v>
      </c>
      <c r="D64" s="6">
        <f t="shared" si="18"/>
        <v>-3</v>
      </c>
      <c r="E64" s="6">
        <f t="shared" si="18"/>
        <v>-3</v>
      </c>
      <c r="F64" s="6">
        <f t="shared" si="19"/>
        <v>0</v>
      </c>
      <c r="G64" s="6">
        <f t="shared" si="20"/>
        <v>9</v>
      </c>
      <c r="H64" s="6">
        <f t="shared" si="21"/>
        <v>0</v>
      </c>
    </row>
    <row r="65" spans="1:8" x14ac:dyDescent="0.25">
      <c r="A65" s="5">
        <v>8</v>
      </c>
      <c r="B65" s="7">
        <f t="shared" si="22"/>
        <v>0</v>
      </c>
      <c r="C65" s="7">
        <f t="shared" si="23"/>
        <v>0</v>
      </c>
      <c r="D65" s="7">
        <f t="shared" si="18"/>
        <v>-3</v>
      </c>
      <c r="E65" s="7">
        <f t="shared" si="18"/>
        <v>-3</v>
      </c>
      <c r="F65" s="7">
        <f t="shared" si="19"/>
        <v>0</v>
      </c>
      <c r="G65" s="7">
        <f t="shared" si="20"/>
        <v>9</v>
      </c>
      <c r="H65" s="7">
        <f t="shared" si="21"/>
        <v>0</v>
      </c>
    </row>
  </sheetData>
  <mergeCells count="20">
    <mergeCell ref="A52:H52"/>
    <mergeCell ref="B53:H53"/>
    <mergeCell ref="B54:H54"/>
    <mergeCell ref="B55:H55"/>
    <mergeCell ref="B56:H56"/>
    <mergeCell ref="A36:H36"/>
    <mergeCell ref="B37:H37"/>
    <mergeCell ref="B38:H38"/>
    <mergeCell ref="B39:H39"/>
    <mergeCell ref="B40:H40"/>
    <mergeCell ref="A20:H20"/>
    <mergeCell ref="B21:H21"/>
    <mergeCell ref="B22:H22"/>
    <mergeCell ref="B23:H23"/>
    <mergeCell ref="B24:H24"/>
    <mergeCell ref="A1:H1"/>
    <mergeCell ref="B2:H2"/>
    <mergeCell ref="B3:H3"/>
    <mergeCell ref="B4:H4"/>
    <mergeCell ref="B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E95C-37E4-4961-8658-031FC1B57E23}">
  <dimension ref="A1:H62"/>
  <sheetViews>
    <sheetView topLeftCell="A46" zoomScale="90" zoomScaleNormal="90" workbookViewId="0">
      <selection activeCell="J50" sqref="J50"/>
    </sheetView>
  </sheetViews>
  <sheetFormatPr baseColWidth="10" defaultRowHeight="15" x14ac:dyDescent="0.25"/>
  <sheetData>
    <row r="1" spans="1:8" ht="15.75" x14ac:dyDescent="0.25">
      <c r="A1" s="1" t="s">
        <v>21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5</v>
      </c>
      <c r="B2" s="3" t="s">
        <v>6</v>
      </c>
      <c r="C2" s="3"/>
      <c r="D2" s="3"/>
      <c r="E2" s="3"/>
      <c r="F2" s="3"/>
      <c r="G2" s="3"/>
      <c r="H2" s="3"/>
    </row>
    <row r="3" spans="1:8" x14ac:dyDescent="0.25">
      <c r="A3" s="2" t="s">
        <v>7</v>
      </c>
      <c r="B3" s="3">
        <v>1</v>
      </c>
      <c r="C3" s="3"/>
      <c r="D3" s="3"/>
      <c r="E3" s="3"/>
      <c r="F3" s="3"/>
      <c r="G3" s="3"/>
      <c r="H3" s="3"/>
    </row>
    <row r="4" spans="1:8" x14ac:dyDescent="0.25">
      <c r="A4" s="2" t="s">
        <v>8</v>
      </c>
      <c r="B4" s="3">
        <v>2</v>
      </c>
      <c r="C4" s="3"/>
      <c r="D4" s="3"/>
      <c r="E4" s="3"/>
      <c r="F4" s="3"/>
      <c r="G4" s="3"/>
      <c r="H4" s="3"/>
    </row>
    <row r="5" spans="1:8" ht="30" x14ac:dyDescent="0.25">
      <c r="A5" s="2" t="s">
        <v>9</v>
      </c>
      <c r="B5" s="3">
        <v>1E-3</v>
      </c>
      <c r="C5" s="3"/>
      <c r="D5" s="3"/>
      <c r="E5" s="3"/>
      <c r="F5" s="3"/>
      <c r="G5" s="3"/>
      <c r="H5" s="3"/>
    </row>
    <row r="6" spans="1:8" ht="60" x14ac:dyDescent="0.25">
      <c r="A6" s="4" t="s">
        <v>10</v>
      </c>
      <c r="B6" s="4" t="s">
        <v>0</v>
      </c>
      <c r="C6" s="4" t="s">
        <v>1</v>
      </c>
      <c r="D6" s="4" t="s">
        <v>11</v>
      </c>
      <c r="E6" s="4" t="s">
        <v>2</v>
      </c>
      <c r="F6" s="4" t="s">
        <v>22</v>
      </c>
      <c r="G6" s="4" t="s">
        <v>23</v>
      </c>
      <c r="H6" s="4" t="s">
        <v>3</v>
      </c>
    </row>
    <row r="7" spans="1:8" x14ac:dyDescent="0.25">
      <c r="A7" s="5">
        <v>1</v>
      </c>
      <c r="B7" s="6">
        <f>$B$3</f>
        <v>1</v>
      </c>
      <c r="C7" s="6">
        <f>$B$4</f>
        <v>2</v>
      </c>
      <c r="D7" s="6">
        <f t="shared" ref="D7:E14" si="0">B7^3-B7-1</f>
        <v>-1</v>
      </c>
      <c r="E7" s="6">
        <f t="shared" si="0"/>
        <v>5</v>
      </c>
      <c r="F7" s="6">
        <f t="shared" ref="F7:F14" si="1">C7-E7*(C7-B7)/(E7-D7)</f>
        <v>1.1666666666666665</v>
      </c>
      <c r="G7" s="6">
        <f t="shared" ref="G7:G14" si="2">F7^3-F7-1</f>
        <v>-0.57870370370370416</v>
      </c>
      <c r="H7" s="6">
        <f>ABS(C7-B7)</f>
        <v>1</v>
      </c>
    </row>
    <row r="8" spans="1:8" x14ac:dyDescent="0.25">
      <c r="A8" s="5">
        <v>2</v>
      </c>
      <c r="B8" s="7">
        <f t="shared" ref="B8:B14" si="3">IF(D7*G7&lt;0,B7,F7)</f>
        <v>1.1666666666666665</v>
      </c>
      <c r="C8" s="7">
        <f t="shared" ref="C8:C14" si="4">IF(D7*G7&lt;0,F7,C7)</f>
        <v>2</v>
      </c>
      <c r="D8" s="7">
        <f t="shared" si="0"/>
        <v>-0.57870370370370416</v>
      </c>
      <c r="E8" s="7">
        <f t="shared" si="0"/>
        <v>5</v>
      </c>
      <c r="F8" s="7">
        <f t="shared" si="1"/>
        <v>1.2531120331950207</v>
      </c>
      <c r="G8" s="7">
        <f t="shared" si="2"/>
        <v>-0.28536302963931992</v>
      </c>
      <c r="H8" s="7">
        <f t="shared" ref="H8:H14" si="5">ABS((F8-F7)/F8)</f>
        <v>6.898454746136877E-2</v>
      </c>
    </row>
    <row r="9" spans="1:8" x14ac:dyDescent="0.25">
      <c r="A9" s="5">
        <v>3</v>
      </c>
      <c r="B9" s="6">
        <f t="shared" si="3"/>
        <v>1.2531120331950207</v>
      </c>
      <c r="C9" s="6">
        <f t="shared" si="4"/>
        <v>2</v>
      </c>
      <c r="D9" s="6">
        <f t="shared" si="0"/>
        <v>-0.28536302963931992</v>
      </c>
      <c r="E9" s="6">
        <f t="shared" si="0"/>
        <v>5</v>
      </c>
      <c r="F9" s="6">
        <f t="shared" si="1"/>
        <v>1.2934374019186834</v>
      </c>
      <c r="G9" s="6">
        <f t="shared" si="2"/>
        <v>-0.12954209282197193</v>
      </c>
      <c r="H9" s="6">
        <f t="shared" si="5"/>
        <v>3.1176900145182176E-2</v>
      </c>
    </row>
    <row r="10" spans="1:8" x14ac:dyDescent="0.25">
      <c r="A10" s="5">
        <v>4</v>
      </c>
      <c r="B10" s="7">
        <f t="shared" si="3"/>
        <v>1.2934374019186834</v>
      </c>
      <c r="C10" s="7">
        <f t="shared" si="4"/>
        <v>2</v>
      </c>
      <c r="D10" s="7">
        <f t="shared" si="0"/>
        <v>-0.12954209282197193</v>
      </c>
      <c r="E10" s="7">
        <f t="shared" si="0"/>
        <v>5</v>
      </c>
      <c r="F10" s="7">
        <f t="shared" si="1"/>
        <v>1.3112810214872344</v>
      </c>
      <c r="G10" s="7">
        <f t="shared" si="2"/>
        <v>-5.6588487269249477E-2</v>
      </c>
      <c r="H10" s="7">
        <f t="shared" si="5"/>
        <v>1.3607776880895452E-2</v>
      </c>
    </row>
    <row r="11" spans="1:8" x14ac:dyDescent="0.25">
      <c r="A11" s="5">
        <v>5</v>
      </c>
      <c r="B11" s="6">
        <f t="shared" si="3"/>
        <v>1.3112810214872344</v>
      </c>
      <c r="C11" s="6">
        <f t="shared" si="4"/>
        <v>2</v>
      </c>
      <c r="D11" s="6">
        <f t="shared" si="0"/>
        <v>-5.6588487269249477E-2</v>
      </c>
      <c r="E11" s="6">
        <f t="shared" si="0"/>
        <v>5</v>
      </c>
      <c r="F11" s="6">
        <f t="shared" si="1"/>
        <v>1.3189885035664628</v>
      </c>
      <c r="G11" s="6">
        <f t="shared" si="2"/>
        <v>-2.4303747183596958E-2</v>
      </c>
      <c r="H11" s="6">
        <f t="shared" si="5"/>
        <v>5.8434793467781508E-3</v>
      </c>
    </row>
    <row r="12" spans="1:8" x14ac:dyDescent="0.25">
      <c r="A12" s="5">
        <v>6</v>
      </c>
      <c r="B12" s="7">
        <f t="shared" si="3"/>
        <v>1.3189885035664628</v>
      </c>
      <c r="C12" s="7">
        <f t="shared" si="4"/>
        <v>2</v>
      </c>
      <c r="D12" s="7">
        <f t="shared" si="0"/>
        <v>-2.4303747183596958E-2</v>
      </c>
      <c r="E12" s="7">
        <f t="shared" si="0"/>
        <v>5</v>
      </c>
      <c r="F12" s="7">
        <f t="shared" si="1"/>
        <v>1.3222827174657958</v>
      </c>
      <c r="G12" s="7">
        <f t="shared" si="2"/>
        <v>-1.036185006965229E-2</v>
      </c>
      <c r="H12" s="7">
        <f t="shared" si="5"/>
        <v>2.4913082927125649E-3</v>
      </c>
    </row>
    <row r="13" spans="1:8" x14ac:dyDescent="0.25">
      <c r="A13" s="5">
        <v>7</v>
      </c>
      <c r="B13" s="6">
        <f t="shared" si="3"/>
        <v>1.3222827174657958</v>
      </c>
      <c r="C13" s="6">
        <f t="shared" si="4"/>
        <v>2</v>
      </c>
      <c r="D13" s="6">
        <f t="shared" si="0"/>
        <v>-1.036185006965229E-2</v>
      </c>
      <c r="E13" s="6">
        <f t="shared" si="0"/>
        <v>5</v>
      </c>
      <c r="F13" s="6">
        <f t="shared" si="1"/>
        <v>1.3236842938551607</v>
      </c>
      <c r="G13" s="6">
        <f t="shared" si="2"/>
        <v>-4.4039498807850741E-3</v>
      </c>
      <c r="H13" s="6">
        <f t="shared" si="5"/>
        <v>1.0588449193446813E-3</v>
      </c>
    </row>
    <row r="14" spans="1:8" x14ac:dyDescent="0.25">
      <c r="A14" s="5">
        <v>8</v>
      </c>
      <c r="B14" s="7">
        <f t="shared" si="3"/>
        <v>1.3236842938551607</v>
      </c>
      <c r="C14" s="7">
        <f t="shared" si="4"/>
        <v>2</v>
      </c>
      <c r="D14" s="7">
        <f t="shared" si="0"/>
        <v>-4.4039498807850741E-3</v>
      </c>
      <c r="E14" s="7">
        <f t="shared" si="0"/>
        <v>5</v>
      </c>
      <c r="F14" s="7">
        <f t="shared" si="1"/>
        <v>1.3242794617319507</v>
      </c>
      <c r="G14" s="7">
        <f t="shared" si="2"/>
        <v>-1.8692583743709079E-3</v>
      </c>
      <c r="H14" s="7">
        <f t="shared" si="5"/>
        <v>4.4942770313113472E-4</v>
      </c>
    </row>
    <row r="17" spans="1:8" ht="15.75" x14ac:dyDescent="0.25">
      <c r="A17" s="1" t="s">
        <v>24</v>
      </c>
      <c r="B17" s="1"/>
      <c r="C17" s="1"/>
      <c r="D17" s="1"/>
      <c r="E17" s="1"/>
      <c r="F17" s="1"/>
      <c r="G17" s="1"/>
      <c r="H17" s="1"/>
    </row>
    <row r="18" spans="1:8" x14ac:dyDescent="0.25">
      <c r="A18" s="2" t="s">
        <v>5</v>
      </c>
      <c r="B18" s="3" t="s">
        <v>16</v>
      </c>
      <c r="C18" s="3"/>
      <c r="D18" s="3"/>
      <c r="E18" s="3"/>
      <c r="F18" s="3"/>
      <c r="G18" s="3"/>
      <c r="H18" s="3"/>
    </row>
    <row r="19" spans="1:8" x14ac:dyDescent="0.25">
      <c r="A19" s="2" t="s">
        <v>7</v>
      </c>
      <c r="B19" s="3">
        <v>1</v>
      </c>
      <c r="C19" s="3"/>
      <c r="D19" s="3"/>
      <c r="E19" s="3"/>
      <c r="F19" s="3"/>
      <c r="G19" s="3"/>
      <c r="H19" s="3"/>
    </row>
    <row r="20" spans="1:8" x14ac:dyDescent="0.25">
      <c r="A20" s="2" t="s">
        <v>8</v>
      </c>
      <c r="B20" s="3">
        <v>2</v>
      </c>
      <c r="C20" s="3"/>
      <c r="D20" s="3"/>
      <c r="E20" s="3"/>
      <c r="F20" s="3"/>
      <c r="G20" s="3"/>
      <c r="H20" s="3"/>
    </row>
    <row r="21" spans="1:8" ht="30" x14ac:dyDescent="0.25">
      <c r="A21" s="2" t="s">
        <v>9</v>
      </c>
      <c r="B21" s="3">
        <v>1E-3</v>
      </c>
      <c r="C21" s="3"/>
      <c r="D21" s="3"/>
      <c r="E21" s="3"/>
      <c r="F21" s="3"/>
      <c r="G21" s="3"/>
      <c r="H21" s="3"/>
    </row>
    <row r="22" spans="1:8" ht="60" x14ac:dyDescent="0.25">
      <c r="A22" s="4" t="s">
        <v>10</v>
      </c>
      <c r="B22" s="4" t="s">
        <v>0</v>
      </c>
      <c r="C22" s="4" t="s">
        <v>1</v>
      </c>
      <c r="D22" s="4" t="s">
        <v>11</v>
      </c>
      <c r="E22" s="4" t="s">
        <v>2</v>
      </c>
      <c r="F22" s="4" t="s">
        <v>22</v>
      </c>
      <c r="G22" s="4" t="s">
        <v>23</v>
      </c>
      <c r="H22" s="4" t="s">
        <v>3</v>
      </c>
    </row>
    <row r="23" spans="1:8" x14ac:dyDescent="0.25">
      <c r="A23" s="5">
        <v>1</v>
      </c>
      <c r="B23" s="6">
        <f>$B$19</f>
        <v>1</v>
      </c>
      <c r="C23" s="6">
        <f>$B$20</f>
        <v>2</v>
      </c>
      <c r="D23" s="6">
        <f t="shared" ref="D23:E30" si="6">B23^2-2</f>
        <v>-1</v>
      </c>
      <c r="E23" s="6">
        <f t="shared" si="6"/>
        <v>2</v>
      </c>
      <c r="F23" s="6">
        <f t="shared" ref="F23:F30" si="7">C23-E23*(C23-B23)/(E23-D23)</f>
        <v>1.3333333333333335</v>
      </c>
      <c r="G23" s="6">
        <f t="shared" ref="G23:G30" si="8">F23^2-2</f>
        <v>-0.22222222222222188</v>
      </c>
      <c r="H23" s="6">
        <f>ABS(C23-B23)</f>
        <v>1</v>
      </c>
    </row>
    <row r="24" spans="1:8" x14ac:dyDescent="0.25">
      <c r="A24" s="5">
        <v>2</v>
      </c>
      <c r="B24" s="7">
        <f t="shared" ref="B24:B30" si="9">IF(D23*G23&lt;0,B23,F23)</f>
        <v>1.3333333333333335</v>
      </c>
      <c r="C24" s="7">
        <f t="shared" ref="C24:C30" si="10">IF(D23*G23&lt;0,F23,C23)</f>
        <v>2</v>
      </c>
      <c r="D24" s="7">
        <f t="shared" si="6"/>
        <v>-0.22222222222222188</v>
      </c>
      <c r="E24" s="7">
        <f t="shared" si="6"/>
        <v>2</v>
      </c>
      <c r="F24" s="7">
        <f t="shared" si="7"/>
        <v>1.4</v>
      </c>
      <c r="G24" s="7">
        <f t="shared" si="8"/>
        <v>-4.0000000000000258E-2</v>
      </c>
      <c r="H24" s="7">
        <f t="shared" ref="H24:H30" si="11">ABS((F24-F23)/F24)</f>
        <v>4.761904761904745E-2</v>
      </c>
    </row>
    <row r="25" spans="1:8" x14ac:dyDescent="0.25">
      <c r="A25" s="5">
        <v>3</v>
      </c>
      <c r="B25" s="6">
        <f t="shared" si="9"/>
        <v>1.4</v>
      </c>
      <c r="C25" s="6">
        <f t="shared" si="10"/>
        <v>2</v>
      </c>
      <c r="D25" s="6">
        <f t="shared" si="6"/>
        <v>-4.0000000000000258E-2</v>
      </c>
      <c r="E25" s="6">
        <f t="shared" si="6"/>
        <v>2</v>
      </c>
      <c r="F25" s="6">
        <f t="shared" si="7"/>
        <v>1.4117647058823528</v>
      </c>
      <c r="G25" s="6">
        <f t="shared" si="8"/>
        <v>-6.9204152249138229E-3</v>
      </c>
      <c r="H25" s="6">
        <f t="shared" si="11"/>
        <v>8.3333333333333037E-3</v>
      </c>
    </row>
    <row r="26" spans="1:8" x14ac:dyDescent="0.25">
      <c r="A26" s="5">
        <v>4</v>
      </c>
      <c r="B26" s="7">
        <f t="shared" si="9"/>
        <v>1.4117647058823528</v>
      </c>
      <c r="C26" s="7">
        <f t="shared" si="10"/>
        <v>2</v>
      </c>
      <c r="D26" s="7">
        <f t="shared" si="6"/>
        <v>-6.9204152249138229E-3</v>
      </c>
      <c r="E26" s="7">
        <f t="shared" si="6"/>
        <v>2</v>
      </c>
      <c r="F26" s="7">
        <f t="shared" si="7"/>
        <v>1.4137931034482758</v>
      </c>
      <c r="G26" s="7">
        <f t="shared" si="8"/>
        <v>-1.1890606420930094E-3</v>
      </c>
      <c r="H26" s="7">
        <f t="shared" si="11"/>
        <v>1.4347202295552858E-3</v>
      </c>
    </row>
    <row r="27" spans="1:8" x14ac:dyDescent="0.25">
      <c r="A27" s="5">
        <v>5</v>
      </c>
      <c r="B27" s="6">
        <f t="shared" si="9"/>
        <v>1.4137931034482758</v>
      </c>
      <c r="C27" s="6">
        <f t="shared" si="10"/>
        <v>2</v>
      </c>
      <c r="D27" s="6">
        <f t="shared" si="6"/>
        <v>-1.1890606420930094E-3</v>
      </c>
      <c r="E27" s="6">
        <f t="shared" si="6"/>
        <v>2</v>
      </c>
      <c r="F27" s="6">
        <f t="shared" si="7"/>
        <v>1.4141414141414144</v>
      </c>
      <c r="G27" s="6">
        <f t="shared" si="8"/>
        <v>-2.0406081012080968E-4</v>
      </c>
      <c r="H27" s="6">
        <f t="shared" si="11"/>
        <v>2.4630541871941368E-4</v>
      </c>
    </row>
    <row r="28" spans="1:8" x14ac:dyDescent="0.25">
      <c r="A28" s="5">
        <v>6</v>
      </c>
      <c r="B28" s="7">
        <f t="shared" si="9"/>
        <v>1.4141414141414144</v>
      </c>
      <c r="C28" s="7">
        <f t="shared" si="10"/>
        <v>2</v>
      </c>
      <c r="D28" s="7">
        <f t="shared" si="6"/>
        <v>-2.0406081012080968E-4</v>
      </c>
      <c r="E28" s="7">
        <f t="shared" si="6"/>
        <v>2</v>
      </c>
      <c r="F28" s="7">
        <f t="shared" si="7"/>
        <v>1.4142011834319526</v>
      </c>
      <c r="G28" s="7">
        <f t="shared" si="8"/>
        <v>-3.5012779664889138E-5</v>
      </c>
      <c r="H28" s="7">
        <f t="shared" si="11"/>
        <v>4.2263640589767502E-5</v>
      </c>
    </row>
    <row r="29" spans="1:8" x14ac:dyDescent="0.25">
      <c r="A29" s="5">
        <v>7</v>
      </c>
      <c r="B29" s="6">
        <f t="shared" si="9"/>
        <v>1.4142011834319526</v>
      </c>
      <c r="C29" s="6">
        <f t="shared" si="10"/>
        <v>2</v>
      </c>
      <c r="D29" s="6">
        <f t="shared" si="6"/>
        <v>-3.5012779664889138E-5</v>
      </c>
      <c r="E29" s="6">
        <f t="shared" si="6"/>
        <v>2</v>
      </c>
      <c r="F29" s="6">
        <f t="shared" si="7"/>
        <v>1.4142114384748701</v>
      </c>
      <c r="G29" s="6">
        <f t="shared" si="8"/>
        <v>-6.0072868388605372E-6</v>
      </c>
      <c r="H29" s="6">
        <f t="shared" si="11"/>
        <v>7.251421278685741E-6</v>
      </c>
    </row>
    <row r="30" spans="1:8" x14ac:dyDescent="0.25">
      <c r="A30" s="5">
        <v>8</v>
      </c>
      <c r="B30" s="7">
        <f t="shared" si="9"/>
        <v>1.4142114384748701</v>
      </c>
      <c r="C30" s="7">
        <f t="shared" si="10"/>
        <v>2</v>
      </c>
      <c r="D30" s="7">
        <f t="shared" si="6"/>
        <v>-6.0072868388605372E-6</v>
      </c>
      <c r="E30" s="7">
        <f t="shared" si="6"/>
        <v>2</v>
      </c>
      <c r="F30" s="7">
        <f t="shared" si="7"/>
        <v>1.4142131979695431</v>
      </c>
      <c r="G30" s="7">
        <f t="shared" si="8"/>
        <v>-1.0306887576749801E-6</v>
      </c>
      <c r="H30" s="7">
        <f t="shared" si="11"/>
        <v>1.2441509353727886E-6</v>
      </c>
    </row>
    <row r="33" spans="1:8" ht="15.75" x14ac:dyDescent="0.25">
      <c r="A33" s="1" t="s">
        <v>25</v>
      </c>
      <c r="B33" s="1"/>
      <c r="C33" s="1"/>
      <c r="D33" s="1"/>
      <c r="E33" s="1"/>
      <c r="F33" s="1"/>
      <c r="G33" s="1"/>
      <c r="H33" s="1"/>
    </row>
    <row r="34" spans="1:8" x14ac:dyDescent="0.25">
      <c r="A34" s="2" t="s">
        <v>5</v>
      </c>
      <c r="B34" s="3" t="s">
        <v>18</v>
      </c>
      <c r="C34" s="3"/>
      <c r="D34" s="3"/>
      <c r="E34" s="3"/>
      <c r="F34" s="3"/>
      <c r="G34" s="3"/>
      <c r="H34" s="3"/>
    </row>
    <row r="35" spans="1:8" x14ac:dyDescent="0.25">
      <c r="A35" s="2" t="s">
        <v>7</v>
      </c>
      <c r="B35" s="3">
        <v>2</v>
      </c>
      <c r="C35" s="3"/>
      <c r="D35" s="3"/>
      <c r="E35" s="3"/>
      <c r="F35" s="3"/>
      <c r="G35" s="3"/>
      <c r="H35" s="3"/>
    </row>
    <row r="36" spans="1:8" x14ac:dyDescent="0.25">
      <c r="A36" s="2" t="s">
        <v>8</v>
      </c>
      <c r="B36" s="3">
        <v>3</v>
      </c>
      <c r="C36" s="3"/>
      <c r="D36" s="3"/>
      <c r="E36" s="3"/>
      <c r="F36" s="3"/>
      <c r="G36" s="3"/>
      <c r="H36" s="3"/>
    </row>
    <row r="37" spans="1:8" ht="30" x14ac:dyDescent="0.25">
      <c r="A37" s="2" t="s">
        <v>9</v>
      </c>
      <c r="B37" s="3">
        <v>1E-3</v>
      </c>
      <c r="C37" s="3"/>
      <c r="D37" s="3"/>
      <c r="E37" s="3"/>
      <c r="F37" s="3"/>
      <c r="G37" s="3"/>
      <c r="H37" s="3"/>
    </row>
    <row r="38" spans="1:8" ht="60" x14ac:dyDescent="0.25">
      <c r="A38" s="4" t="s">
        <v>10</v>
      </c>
      <c r="B38" s="4" t="s">
        <v>0</v>
      </c>
      <c r="C38" s="4" t="s">
        <v>1</v>
      </c>
      <c r="D38" s="4" t="s">
        <v>11</v>
      </c>
      <c r="E38" s="4" t="s">
        <v>2</v>
      </c>
      <c r="F38" s="4" t="s">
        <v>22</v>
      </c>
      <c r="G38" s="4" t="s">
        <v>23</v>
      </c>
      <c r="H38" s="4" t="s">
        <v>3</v>
      </c>
    </row>
    <row r="39" spans="1:8" x14ac:dyDescent="0.25">
      <c r="A39" s="5">
        <v>1</v>
      </c>
      <c r="B39" s="6">
        <f>$B$35</f>
        <v>2</v>
      </c>
      <c r="C39" s="6">
        <f>$B$36</f>
        <v>3</v>
      </c>
      <c r="D39" s="6">
        <f t="shared" ref="D39:E46" si="12">B39^3-2*B39-5</f>
        <v>-1</v>
      </c>
      <c r="E39" s="6">
        <f t="shared" si="12"/>
        <v>16</v>
      </c>
      <c r="F39" s="6">
        <f t="shared" ref="F39:F46" si="13">C39-E39*(C39-B39)/(E39-D39)</f>
        <v>2.0588235294117645</v>
      </c>
      <c r="G39" s="6">
        <f t="shared" ref="G39:G46" si="14">F39^3-2*F39-5</f>
        <v>-0.39079991858335283</v>
      </c>
      <c r="H39" s="6">
        <f>ABS(C39-B39)</f>
        <v>1</v>
      </c>
    </row>
    <row r="40" spans="1:8" x14ac:dyDescent="0.25">
      <c r="A40" s="5">
        <v>2</v>
      </c>
      <c r="B40" s="7">
        <f t="shared" ref="B40:B46" si="15">IF(D39*G39&lt;0,B39,F39)</f>
        <v>2.0588235294117645</v>
      </c>
      <c r="C40" s="7">
        <f t="shared" ref="C40:C46" si="16">IF(D39*G39&lt;0,F39,C39)</f>
        <v>3</v>
      </c>
      <c r="D40" s="7">
        <f t="shared" si="12"/>
        <v>-0.39079991858335283</v>
      </c>
      <c r="E40" s="7">
        <f t="shared" si="12"/>
        <v>16</v>
      </c>
      <c r="F40" s="7">
        <f t="shared" si="13"/>
        <v>2.0812636598450229</v>
      </c>
      <c r="G40" s="7">
        <f t="shared" si="14"/>
        <v>-0.14720405955375426</v>
      </c>
      <c r="H40" s="7">
        <f t="shared" ref="H40:H46" si="17">ABS((F40-F39)/F40)</f>
        <v>1.0781973887407129E-2</v>
      </c>
    </row>
    <row r="41" spans="1:8" x14ac:dyDescent="0.25">
      <c r="A41" s="5">
        <v>3</v>
      </c>
      <c r="B41" s="6">
        <f t="shared" si="15"/>
        <v>2.0812636598450229</v>
      </c>
      <c r="C41" s="6">
        <f t="shared" si="16"/>
        <v>3</v>
      </c>
      <c r="D41" s="6">
        <f t="shared" si="12"/>
        <v>-0.14720405955375426</v>
      </c>
      <c r="E41" s="6">
        <f t="shared" si="12"/>
        <v>16</v>
      </c>
      <c r="F41" s="6">
        <f t="shared" si="13"/>
        <v>2.0896392100908474</v>
      </c>
      <c r="G41" s="6">
        <f t="shared" si="14"/>
        <v>-5.4676503273289434E-2</v>
      </c>
      <c r="H41" s="6">
        <f t="shared" si="17"/>
        <v>4.0081322198487809E-3</v>
      </c>
    </row>
    <row r="42" spans="1:8" x14ac:dyDescent="0.25">
      <c r="A42" s="5">
        <v>4</v>
      </c>
      <c r="B42" s="7">
        <f t="shared" si="15"/>
        <v>2.0896392100908474</v>
      </c>
      <c r="C42" s="7">
        <f t="shared" si="16"/>
        <v>3</v>
      </c>
      <c r="D42" s="7">
        <f t="shared" si="12"/>
        <v>-5.4676503273289434E-2</v>
      </c>
      <c r="E42" s="7">
        <f t="shared" si="12"/>
        <v>16</v>
      </c>
      <c r="F42" s="7">
        <f t="shared" si="13"/>
        <v>2.0927395743180055</v>
      </c>
      <c r="G42" s="7">
        <f t="shared" si="14"/>
        <v>-2.0202866312459378E-2</v>
      </c>
      <c r="H42" s="7">
        <f t="shared" si="17"/>
        <v>1.4814859264887068E-3</v>
      </c>
    </row>
    <row r="43" spans="1:8" x14ac:dyDescent="0.25">
      <c r="A43" s="5">
        <v>5</v>
      </c>
      <c r="B43" s="6">
        <f t="shared" si="15"/>
        <v>2.0927395743180055</v>
      </c>
      <c r="C43" s="6">
        <f t="shared" si="16"/>
        <v>3</v>
      </c>
      <c r="D43" s="6">
        <f t="shared" si="12"/>
        <v>-2.0202866312459378E-2</v>
      </c>
      <c r="E43" s="6">
        <f t="shared" si="12"/>
        <v>16</v>
      </c>
      <c r="F43" s="6">
        <f t="shared" si="13"/>
        <v>2.0938837084618482</v>
      </c>
      <c r="G43" s="6">
        <f t="shared" si="14"/>
        <v>-7.450505938198404E-3</v>
      </c>
      <c r="H43" s="6">
        <f t="shared" si="17"/>
        <v>5.4641723378382227E-4</v>
      </c>
    </row>
    <row r="44" spans="1:8" x14ac:dyDescent="0.25">
      <c r="A44" s="5">
        <v>6</v>
      </c>
      <c r="B44" s="7">
        <f t="shared" si="15"/>
        <v>2.0938837084618482</v>
      </c>
      <c r="C44" s="7">
        <f t="shared" si="16"/>
        <v>3</v>
      </c>
      <c r="D44" s="7">
        <f t="shared" si="12"/>
        <v>-7.450505938198404E-3</v>
      </c>
      <c r="E44" s="7">
        <f t="shared" si="12"/>
        <v>16</v>
      </c>
      <c r="F44" s="7">
        <f t="shared" si="13"/>
        <v>2.0943054511252597</v>
      </c>
      <c r="G44" s="7">
        <f t="shared" si="14"/>
        <v>-2.7456728381336504E-3</v>
      </c>
      <c r="H44" s="7">
        <f t="shared" si="17"/>
        <v>2.0137590874570824E-4</v>
      </c>
    </row>
    <row r="45" spans="1:8" x14ac:dyDescent="0.25">
      <c r="A45" s="5">
        <v>7</v>
      </c>
      <c r="B45" s="6">
        <f t="shared" si="15"/>
        <v>2.0943054511252597</v>
      </c>
      <c r="C45" s="6">
        <f t="shared" si="16"/>
        <v>3</v>
      </c>
      <c r="D45" s="6">
        <f t="shared" si="12"/>
        <v>-2.7456728381336504E-3</v>
      </c>
      <c r="E45" s="6">
        <f t="shared" si="12"/>
        <v>16</v>
      </c>
      <c r="F45" s="6">
        <f t="shared" si="13"/>
        <v>2.0944608457664877</v>
      </c>
      <c r="G45" s="6">
        <f t="shared" si="14"/>
        <v>-1.0115739493237186E-3</v>
      </c>
      <c r="H45" s="6">
        <f t="shared" si="17"/>
        <v>7.4193146910405905E-5</v>
      </c>
    </row>
    <row r="46" spans="1:8" x14ac:dyDescent="0.25">
      <c r="A46" s="5">
        <v>8</v>
      </c>
      <c r="B46" s="7">
        <f t="shared" si="15"/>
        <v>2.0944608457664877</v>
      </c>
      <c r="C46" s="7">
        <f t="shared" si="16"/>
        <v>3</v>
      </c>
      <c r="D46" s="7">
        <f t="shared" si="12"/>
        <v>-1.0115739493237186E-3</v>
      </c>
      <c r="E46" s="7">
        <f t="shared" si="12"/>
        <v>16</v>
      </c>
      <c r="F46" s="7">
        <f t="shared" si="13"/>
        <v>2.0945180933857577</v>
      </c>
      <c r="G46" s="7">
        <f t="shared" si="14"/>
        <v>-3.7265282556120383E-4</v>
      </c>
      <c r="H46" s="7">
        <f t="shared" si="17"/>
        <v>2.7332119713232561E-5</v>
      </c>
    </row>
    <row r="49" spans="1:8" ht="15.75" x14ac:dyDescent="0.25">
      <c r="A49" s="1" t="s">
        <v>26</v>
      </c>
      <c r="B49" s="1"/>
      <c r="C49" s="1"/>
      <c r="D49" s="1"/>
      <c r="E49" s="1"/>
      <c r="F49" s="1"/>
      <c r="G49" s="1"/>
      <c r="H49" s="1"/>
    </row>
    <row r="50" spans="1:8" x14ac:dyDescent="0.25">
      <c r="A50" s="2" t="s">
        <v>5</v>
      </c>
      <c r="B50" s="3" t="s">
        <v>20</v>
      </c>
      <c r="C50" s="3"/>
      <c r="D50" s="3"/>
      <c r="E50" s="3"/>
      <c r="F50" s="3"/>
      <c r="G50" s="3"/>
      <c r="H50" s="3"/>
    </row>
    <row r="51" spans="1:8" x14ac:dyDescent="0.25">
      <c r="A51" s="2" t="s">
        <v>7</v>
      </c>
      <c r="B51" s="3">
        <v>0.9</v>
      </c>
      <c r="C51" s="3"/>
      <c r="D51" s="3"/>
      <c r="E51" s="3"/>
      <c r="F51" s="3"/>
      <c r="G51" s="3"/>
      <c r="H51" s="3"/>
    </row>
    <row r="52" spans="1:8" x14ac:dyDescent="0.25">
      <c r="A52" s="2" t="s">
        <v>8</v>
      </c>
      <c r="B52" s="3">
        <v>1.5</v>
      </c>
      <c r="C52" s="3"/>
      <c r="D52" s="3"/>
      <c r="E52" s="3"/>
      <c r="F52" s="3"/>
      <c r="G52" s="3"/>
      <c r="H52" s="3"/>
    </row>
    <row r="53" spans="1:8" ht="30" x14ac:dyDescent="0.25">
      <c r="A53" s="2" t="s">
        <v>9</v>
      </c>
      <c r="B53" s="3">
        <v>1E-3</v>
      </c>
      <c r="C53" s="3"/>
      <c r="D53" s="3"/>
      <c r="E53" s="3"/>
      <c r="F53" s="3"/>
      <c r="G53" s="3"/>
      <c r="H53" s="3"/>
    </row>
    <row r="54" spans="1:8" ht="60" x14ac:dyDescent="0.25">
      <c r="A54" s="4" t="s">
        <v>10</v>
      </c>
      <c r="B54" s="4" t="s">
        <v>0</v>
      </c>
      <c r="C54" s="4" t="s">
        <v>1</v>
      </c>
      <c r="D54" s="4" t="s">
        <v>11</v>
      </c>
      <c r="E54" s="4" t="s">
        <v>2</v>
      </c>
      <c r="F54" s="4" t="s">
        <v>22</v>
      </c>
      <c r="G54" s="4" t="s">
        <v>23</v>
      </c>
      <c r="H54" s="4" t="s">
        <v>3</v>
      </c>
    </row>
    <row r="55" spans="1:8" x14ac:dyDescent="0.25">
      <c r="A55" s="5">
        <v>1</v>
      </c>
      <c r="B55" s="6">
        <f>$B$51</f>
        <v>0.9</v>
      </c>
      <c r="C55" s="6">
        <f>$B$52</f>
        <v>1.5</v>
      </c>
      <c r="D55" s="6">
        <f t="shared" ref="D55:E62" si="18">2*B55^2-3</f>
        <v>-1.38</v>
      </c>
      <c r="E55" s="6">
        <f t="shared" si="18"/>
        <v>1.5</v>
      </c>
      <c r="F55" s="6">
        <f t="shared" ref="F55:F62" si="19">C55-E55*(C55-B55)/(E55-D55)</f>
        <v>1.1875</v>
      </c>
      <c r="G55" s="6">
        <f t="shared" ref="G55:G62" si="20">2*F55^2-3</f>
        <v>-0.1796875</v>
      </c>
      <c r="H55" s="6">
        <f>ABS(C55-B55)</f>
        <v>0.6</v>
      </c>
    </row>
    <row r="56" spans="1:8" x14ac:dyDescent="0.25">
      <c r="A56" s="5">
        <v>2</v>
      </c>
      <c r="B56" s="7">
        <f t="shared" ref="B56:B62" si="21">IF(D55*G55&lt;0,B55,F55)</f>
        <v>1.1875</v>
      </c>
      <c r="C56" s="7">
        <f t="shared" ref="C56:C62" si="22">IF(D55*G55&lt;0,F55,C55)</f>
        <v>1.5</v>
      </c>
      <c r="D56" s="7">
        <f t="shared" si="18"/>
        <v>-0.1796875</v>
      </c>
      <c r="E56" s="7">
        <f t="shared" si="18"/>
        <v>1.5</v>
      </c>
      <c r="F56" s="7">
        <f t="shared" si="19"/>
        <v>1.2209302325581395</v>
      </c>
      <c r="G56" s="7">
        <f t="shared" si="20"/>
        <v>-1.8658734451054926E-2</v>
      </c>
      <c r="H56" s="7">
        <f t="shared" ref="H56:H62" si="23">ABS((F56-F55)/F56)</f>
        <v>2.7380952380952339E-2</v>
      </c>
    </row>
    <row r="57" spans="1:8" x14ac:dyDescent="0.25">
      <c r="A57" s="5">
        <v>3</v>
      </c>
      <c r="B57" s="6">
        <f t="shared" si="21"/>
        <v>1.2209302325581395</v>
      </c>
      <c r="C57" s="6">
        <f t="shared" si="22"/>
        <v>1.5</v>
      </c>
      <c r="D57" s="6">
        <f t="shared" si="18"/>
        <v>-1.8658734451054926E-2</v>
      </c>
      <c r="E57" s="6">
        <f t="shared" si="18"/>
        <v>1.5</v>
      </c>
      <c r="F57" s="6">
        <f t="shared" si="19"/>
        <v>1.2243589743589745</v>
      </c>
      <c r="G57" s="6">
        <f t="shared" si="20"/>
        <v>-1.8902038132804222E-3</v>
      </c>
      <c r="H57" s="6">
        <f t="shared" si="23"/>
        <v>2.8004383294777738E-3</v>
      </c>
    </row>
    <row r="58" spans="1:8" x14ac:dyDescent="0.25">
      <c r="A58" s="5">
        <v>4</v>
      </c>
      <c r="B58" s="7">
        <f t="shared" si="21"/>
        <v>1.2243589743589745</v>
      </c>
      <c r="C58" s="7">
        <f t="shared" si="22"/>
        <v>1.5</v>
      </c>
      <c r="D58" s="7">
        <f t="shared" si="18"/>
        <v>-1.8902038132804222E-3</v>
      </c>
      <c r="E58" s="7">
        <f t="shared" si="18"/>
        <v>1.5</v>
      </c>
      <c r="F58" s="7">
        <f t="shared" si="19"/>
        <v>1.2247058823529411</v>
      </c>
      <c r="G58" s="7">
        <f t="shared" si="20"/>
        <v>-1.9100346020817227E-4</v>
      </c>
      <c r="H58" s="7">
        <f t="shared" si="23"/>
        <v>2.8325820833010842E-4</v>
      </c>
    </row>
    <row r="59" spans="1:8" x14ac:dyDescent="0.25">
      <c r="A59" s="5">
        <v>5</v>
      </c>
      <c r="B59" s="6">
        <f t="shared" si="21"/>
        <v>1.2247058823529411</v>
      </c>
      <c r="C59" s="6">
        <f t="shared" si="22"/>
        <v>1.5</v>
      </c>
      <c r="D59" s="6">
        <f t="shared" si="18"/>
        <v>-1.9100346020817227E-4</v>
      </c>
      <c r="E59" s="6">
        <f t="shared" si="18"/>
        <v>1.5</v>
      </c>
      <c r="F59" s="6">
        <f t="shared" si="19"/>
        <v>1.224740932642487</v>
      </c>
      <c r="G59" s="6">
        <f t="shared" si="20"/>
        <v>-1.9295820022247057E-5</v>
      </c>
      <c r="H59" s="6">
        <f t="shared" si="23"/>
        <v>2.8618533611221839E-5</v>
      </c>
    </row>
    <row r="60" spans="1:8" x14ac:dyDescent="0.25">
      <c r="A60" s="5">
        <v>6</v>
      </c>
      <c r="B60" s="7">
        <f t="shared" si="21"/>
        <v>1.224740932642487</v>
      </c>
      <c r="C60" s="7">
        <f t="shared" si="22"/>
        <v>1.5</v>
      </c>
      <c r="D60" s="7">
        <f t="shared" si="18"/>
        <v>-1.9295820022247057E-5</v>
      </c>
      <c r="E60" s="7">
        <f t="shared" si="18"/>
        <v>1.5</v>
      </c>
      <c r="F60" s="7">
        <f t="shared" si="19"/>
        <v>1.2247444734965534</v>
      </c>
      <c r="G60" s="7">
        <f t="shared" si="20"/>
        <v>-1.9492793006392617E-6</v>
      </c>
      <c r="H60" s="7">
        <f t="shared" si="23"/>
        <v>2.8910961780365389E-6</v>
      </c>
    </row>
    <row r="61" spans="1:8" x14ac:dyDescent="0.25">
      <c r="A61" s="5">
        <v>7</v>
      </c>
      <c r="B61" s="6">
        <f t="shared" si="21"/>
        <v>1.2247444734965534</v>
      </c>
      <c r="C61" s="6">
        <f t="shared" si="22"/>
        <v>1.5</v>
      </c>
      <c r="D61" s="6">
        <f t="shared" si="18"/>
        <v>-1.9492793006392617E-6</v>
      </c>
      <c r="E61" s="6">
        <f t="shared" si="18"/>
        <v>1.5</v>
      </c>
      <c r="F61" s="6">
        <f t="shared" si="19"/>
        <v>1.2247448311960221</v>
      </c>
      <c r="G61" s="6">
        <f t="shared" si="20"/>
        <v>-1.9691725494652701E-7</v>
      </c>
      <c r="H61" s="6">
        <f t="shared" si="23"/>
        <v>2.9206040278794071E-7</v>
      </c>
    </row>
    <row r="62" spans="1:8" x14ac:dyDescent="0.25">
      <c r="A62" s="5">
        <v>8</v>
      </c>
      <c r="B62" s="7">
        <f t="shared" si="21"/>
        <v>1.2247448311960221</v>
      </c>
      <c r="C62" s="7">
        <f t="shared" si="22"/>
        <v>1.5</v>
      </c>
      <c r="D62" s="7">
        <f t="shared" si="18"/>
        <v>-1.9691725494652701E-7</v>
      </c>
      <c r="E62" s="7">
        <f t="shared" si="18"/>
        <v>1.5</v>
      </c>
      <c r="F62" s="7">
        <f t="shared" si="19"/>
        <v>1.2247448673310122</v>
      </c>
      <c r="G62" s="7">
        <f t="shared" si="20"/>
        <v>-1.9892682612265844E-8</v>
      </c>
      <c r="H62" s="7">
        <f t="shared" si="23"/>
        <v>2.9504095975500834E-8</v>
      </c>
    </row>
  </sheetData>
  <mergeCells count="20">
    <mergeCell ref="B51:H51"/>
    <mergeCell ref="B52:H52"/>
    <mergeCell ref="B53:H53"/>
    <mergeCell ref="B34:H34"/>
    <mergeCell ref="B35:H35"/>
    <mergeCell ref="B36:H36"/>
    <mergeCell ref="B37:H37"/>
    <mergeCell ref="A49:H49"/>
    <mergeCell ref="B50:H50"/>
    <mergeCell ref="A17:H17"/>
    <mergeCell ref="B18:H18"/>
    <mergeCell ref="B19:H19"/>
    <mergeCell ref="B20:H20"/>
    <mergeCell ref="B21:H21"/>
    <mergeCell ref="A33:H33"/>
    <mergeCell ref="A1:H1"/>
    <mergeCell ref="B2:H2"/>
    <mergeCell ref="B3:H3"/>
    <mergeCell ref="B4:H4"/>
    <mergeCell ref="B5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A26B-59C1-4988-B39D-7EBADA0374DB}">
  <dimension ref="A1:G59"/>
  <sheetViews>
    <sheetView topLeftCell="A39" workbookViewId="0">
      <selection activeCell="I47" sqref="I47"/>
    </sheetView>
  </sheetViews>
  <sheetFormatPr baseColWidth="10" defaultRowHeight="15" x14ac:dyDescent="0.25"/>
  <cols>
    <col min="7" max="7" width="15.85546875" customWidth="1"/>
  </cols>
  <sheetData>
    <row r="1" spans="1:7" ht="15.75" x14ac:dyDescent="0.25">
      <c r="A1" s="1" t="s">
        <v>27</v>
      </c>
      <c r="B1" s="1"/>
      <c r="C1" s="1"/>
      <c r="D1" s="1"/>
      <c r="E1" s="1"/>
      <c r="F1" s="1"/>
      <c r="G1" s="1"/>
    </row>
    <row r="2" spans="1:7" x14ac:dyDescent="0.25">
      <c r="A2" s="2" t="s">
        <v>5</v>
      </c>
      <c r="B2" s="3" t="s">
        <v>6</v>
      </c>
      <c r="C2" s="3"/>
      <c r="D2" s="3"/>
      <c r="E2" s="3"/>
      <c r="F2" s="3"/>
      <c r="G2" s="3"/>
    </row>
    <row r="3" spans="1:7" x14ac:dyDescent="0.25">
      <c r="A3" s="2" t="s">
        <v>28</v>
      </c>
      <c r="B3" s="3" t="s">
        <v>29</v>
      </c>
      <c r="C3" s="3"/>
      <c r="D3" s="3"/>
      <c r="E3" s="3"/>
      <c r="F3" s="3"/>
      <c r="G3" s="3"/>
    </row>
    <row r="4" spans="1:7" x14ac:dyDescent="0.25">
      <c r="A4" s="2" t="s">
        <v>30</v>
      </c>
      <c r="B4" s="3">
        <v>2</v>
      </c>
      <c r="C4" s="3"/>
      <c r="D4" s="3"/>
      <c r="E4" s="3"/>
      <c r="F4" s="3"/>
      <c r="G4" s="3"/>
    </row>
    <row r="5" spans="1:7" ht="30" x14ac:dyDescent="0.25">
      <c r="A5" s="2" t="s">
        <v>9</v>
      </c>
      <c r="B5" s="3">
        <v>1E-3</v>
      </c>
      <c r="C5" s="3"/>
      <c r="D5" s="3"/>
      <c r="E5" s="3"/>
      <c r="F5" s="3"/>
      <c r="G5" s="3"/>
    </row>
    <row r="6" spans="1:7" ht="30" x14ac:dyDescent="0.25">
      <c r="A6" s="4" t="s">
        <v>10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</row>
    <row r="7" spans="1:7" x14ac:dyDescent="0.25">
      <c r="A7" s="5">
        <v>1</v>
      </c>
      <c r="B7" s="6">
        <f>$B$4</f>
        <v>2</v>
      </c>
      <c r="C7" s="6">
        <f t="shared" ref="C7:C14" si="0">B7^3-B7-1</f>
        <v>5</v>
      </c>
      <c r="D7" s="6">
        <f t="shared" ref="D7:D14" si="1">3*B7^2-1</f>
        <v>11</v>
      </c>
      <c r="E7" s="6">
        <f t="shared" ref="E7:E14" si="2">B7-(C7/D7)</f>
        <v>1.5454545454545454</v>
      </c>
      <c r="F7" s="6">
        <f t="shared" ref="F7:F14" si="3">ABS((E7-B7)/E7)*100</f>
        <v>29.411764705882355</v>
      </c>
      <c r="G7" s="10" t="str">
        <f t="shared" ref="G7:G14" si="4">IF(F7&lt;$B$5,"Sí","No")</f>
        <v>No</v>
      </c>
    </row>
    <row r="8" spans="1:7" x14ac:dyDescent="0.25">
      <c r="A8" s="5">
        <v>2</v>
      </c>
      <c r="B8" s="7">
        <f t="shared" ref="B8:B14" si="5">E7</f>
        <v>1.5454545454545454</v>
      </c>
      <c r="C8" s="7">
        <f t="shared" si="0"/>
        <v>1.1457550713749058</v>
      </c>
      <c r="D8" s="7">
        <f t="shared" si="1"/>
        <v>6.1652892561983466</v>
      </c>
      <c r="E8" s="7">
        <f t="shared" si="2"/>
        <v>1.359614915915184</v>
      </c>
      <c r="F8" s="7">
        <f t="shared" si="3"/>
        <v>13.668548893071611</v>
      </c>
      <c r="G8" s="11" t="str">
        <f t="shared" si="4"/>
        <v>No</v>
      </c>
    </row>
    <row r="9" spans="1:7" x14ac:dyDescent="0.25">
      <c r="A9" s="5">
        <v>3</v>
      </c>
      <c r="B9" s="6">
        <f t="shared" si="5"/>
        <v>1.359614915915184</v>
      </c>
      <c r="C9" s="6">
        <f t="shared" si="0"/>
        <v>0.15370493448007472</v>
      </c>
      <c r="D9" s="6">
        <f t="shared" si="1"/>
        <v>4.5456581587371589</v>
      </c>
      <c r="E9" s="6">
        <f t="shared" si="2"/>
        <v>1.325801345005845</v>
      </c>
      <c r="F9" s="6">
        <f t="shared" si="3"/>
        <v>2.5504251475314299</v>
      </c>
      <c r="G9" s="10" t="str">
        <f t="shared" si="4"/>
        <v>No</v>
      </c>
    </row>
    <row r="10" spans="1:7" x14ac:dyDescent="0.25">
      <c r="A10" s="5">
        <v>4</v>
      </c>
      <c r="B10" s="7">
        <f t="shared" si="5"/>
        <v>1.325801345005845</v>
      </c>
      <c r="C10" s="7">
        <f t="shared" si="0"/>
        <v>4.6249170478298574E-3</v>
      </c>
      <c r="D10" s="7">
        <f t="shared" si="1"/>
        <v>4.2732476192579227</v>
      </c>
      <c r="E10" s="7">
        <f t="shared" si="2"/>
        <v>1.3247190494171253</v>
      </c>
      <c r="F10" s="7">
        <f t="shared" si="3"/>
        <v>8.1700009462078713E-2</v>
      </c>
      <c r="G10" s="11" t="str">
        <f t="shared" si="4"/>
        <v>No</v>
      </c>
    </row>
    <row r="11" spans="1:7" x14ac:dyDescent="0.25">
      <c r="A11" s="5">
        <v>5</v>
      </c>
      <c r="B11" s="6">
        <f t="shared" si="5"/>
        <v>1.3247190494171253</v>
      </c>
      <c r="C11" s="6">
        <f t="shared" si="0"/>
        <v>4.6577191092911363E-6</v>
      </c>
      <c r="D11" s="6">
        <f t="shared" si="1"/>
        <v>4.2646416796658357</v>
      </c>
      <c r="E11" s="6">
        <f t="shared" si="2"/>
        <v>1.3247179572458576</v>
      </c>
      <c r="F11" s="6">
        <f t="shared" si="3"/>
        <v>8.2445569766240252E-5</v>
      </c>
      <c r="G11" s="10" t="str">
        <f t="shared" si="4"/>
        <v>Sí</v>
      </c>
    </row>
    <row r="12" spans="1:7" x14ac:dyDescent="0.25">
      <c r="A12" s="5">
        <v>6</v>
      </c>
      <c r="B12" s="7">
        <f t="shared" si="5"/>
        <v>1.3247179572458576</v>
      </c>
      <c r="C12" s="7">
        <f t="shared" si="0"/>
        <v>4.7404302705444934E-12</v>
      </c>
      <c r="D12" s="7">
        <f t="shared" si="1"/>
        <v>4.2646329987489136</v>
      </c>
      <c r="E12" s="7">
        <f t="shared" si="2"/>
        <v>1.3247179572447461</v>
      </c>
      <c r="F12" s="7">
        <f t="shared" si="3"/>
        <v>8.3908826492139356E-11</v>
      </c>
      <c r="G12" s="11" t="str">
        <f t="shared" si="4"/>
        <v>Sí</v>
      </c>
    </row>
    <row r="13" spans="1:7" x14ac:dyDescent="0.25">
      <c r="A13" s="5">
        <v>7</v>
      </c>
      <c r="B13" s="6">
        <f t="shared" si="5"/>
        <v>1.3247179572447461</v>
      </c>
      <c r="C13" s="6">
        <f t="shared" si="0"/>
        <v>0</v>
      </c>
      <c r="D13" s="6">
        <f t="shared" si="1"/>
        <v>4.2646329987400788</v>
      </c>
      <c r="E13" s="6">
        <f t="shared" si="2"/>
        <v>1.3247179572447461</v>
      </c>
      <c r="F13" s="6">
        <f t="shared" si="3"/>
        <v>0</v>
      </c>
      <c r="G13" s="10" t="str">
        <f t="shared" si="4"/>
        <v>Sí</v>
      </c>
    </row>
    <row r="14" spans="1:7" x14ac:dyDescent="0.25">
      <c r="A14" s="5">
        <v>8</v>
      </c>
      <c r="B14" s="7">
        <f t="shared" si="5"/>
        <v>1.3247179572447461</v>
      </c>
      <c r="C14" s="7">
        <f t="shared" si="0"/>
        <v>0</v>
      </c>
      <c r="D14" s="7">
        <f t="shared" si="1"/>
        <v>4.2646329987400788</v>
      </c>
      <c r="E14" s="7">
        <f t="shared" si="2"/>
        <v>1.3247179572447461</v>
      </c>
      <c r="F14" s="7">
        <f t="shared" si="3"/>
        <v>0</v>
      </c>
      <c r="G14" s="11" t="str">
        <f t="shared" si="4"/>
        <v>Sí</v>
      </c>
    </row>
    <row r="16" spans="1:7" ht="15.75" x14ac:dyDescent="0.25">
      <c r="A16" s="1" t="s">
        <v>37</v>
      </c>
      <c r="B16" s="1"/>
      <c r="C16" s="1"/>
      <c r="D16" s="1"/>
      <c r="E16" s="1"/>
      <c r="F16" s="1"/>
      <c r="G16" s="1"/>
    </row>
    <row r="17" spans="1:7" x14ac:dyDescent="0.25">
      <c r="A17" s="2" t="s">
        <v>5</v>
      </c>
      <c r="B17" s="3" t="s">
        <v>16</v>
      </c>
      <c r="C17" s="3"/>
      <c r="D17" s="3"/>
      <c r="E17" s="3"/>
      <c r="F17" s="3"/>
      <c r="G17" s="3"/>
    </row>
    <row r="18" spans="1:7" x14ac:dyDescent="0.25">
      <c r="A18" s="2" t="s">
        <v>28</v>
      </c>
      <c r="B18" s="3" t="s">
        <v>38</v>
      </c>
      <c r="C18" s="3"/>
      <c r="D18" s="3"/>
      <c r="E18" s="3"/>
      <c r="F18" s="3"/>
      <c r="G18" s="3"/>
    </row>
    <row r="19" spans="1:7" x14ac:dyDescent="0.25">
      <c r="A19" s="2" t="s">
        <v>30</v>
      </c>
      <c r="B19" s="3">
        <v>1.5</v>
      </c>
      <c r="C19" s="3"/>
      <c r="D19" s="3"/>
      <c r="E19" s="3"/>
      <c r="F19" s="3"/>
      <c r="G19" s="3"/>
    </row>
    <row r="20" spans="1:7" ht="30" x14ac:dyDescent="0.25">
      <c r="A20" s="2" t="s">
        <v>9</v>
      </c>
      <c r="B20" s="3">
        <v>1E-3</v>
      </c>
      <c r="C20" s="3"/>
      <c r="D20" s="3"/>
      <c r="E20" s="3"/>
      <c r="F20" s="3"/>
      <c r="G20" s="3"/>
    </row>
    <row r="21" spans="1:7" ht="30" x14ac:dyDescent="0.25">
      <c r="A21" s="4" t="s">
        <v>10</v>
      </c>
      <c r="B21" s="4" t="s">
        <v>31</v>
      </c>
      <c r="C21" s="4" t="s">
        <v>32</v>
      </c>
      <c r="D21" s="4" t="s">
        <v>33</v>
      </c>
      <c r="E21" s="4" t="s">
        <v>34</v>
      </c>
      <c r="F21" s="4" t="s">
        <v>35</v>
      </c>
      <c r="G21" s="4" t="s">
        <v>36</v>
      </c>
    </row>
    <row r="22" spans="1:7" x14ac:dyDescent="0.25">
      <c r="A22" s="5">
        <v>1</v>
      </c>
      <c r="B22" s="6">
        <f>$B$19</f>
        <v>1.5</v>
      </c>
      <c r="C22" s="6">
        <f t="shared" ref="C22:C29" si="6">B22^2-2</f>
        <v>0.25</v>
      </c>
      <c r="D22" s="6">
        <f t="shared" ref="D22:D29" si="7">2*B22</f>
        <v>3</v>
      </c>
      <c r="E22" s="6">
        <f t="shared" ref="E22:E29" si="8">B22-(C22/D22)</f>
        <v>1.4166666666666667</v>
      </c>
      <c r="F22" s="6">
        <f t="shared" ref="F22:F29" si="9">ABS((E22-B22)/E22)*100</f>
        <v>5.8823529411764648</v>
      </c>
      <c r="G22" s="10" t="str">
        <f t="shared" ref="G22:G29" si="10">IF(F22&lt;$B$20,"Sí","No")</f>
        <v>No</v>
      </c>
    </row>
    <row r="23" spans="1:7" x14ac:dyDescent="0.25">
      <c r="A23" s="5">
        <v>2</v>
      </c>
      <c r="B23" s="7">
        <f t="shared" ref="B23:B29" si="11">E22</f>
        <v>1.4166666666666667</v>
      </c>
      <c r="C23" s="7">
        <f t="shared" si="6"/>
        <v>6.9444444444446418E-3</v>
      </c>
      <c r="D23" s="7">
        <f t="shared" si="7"/>
        <v>2.8333333333333335</v>
      </c>
      <c r="E23" s="7">
        <f t="shared" si="8"/>
        <v>1.4142156862745099</v>
      </c>
      <c r="F23" s="7">
        <f t="shared" si="9"/>
        <v>0.17331022530329226</v>
      </c>
      <c r="G23" s="11" t="str">
        <f t="shared" si="10"/>
        <v>No</v>
      </c>
    </row>
    <row r="24" spans="1:7" x14ac:dyDescent="0.25">
      <c r="A24" s="5">
        <v>3</v>
      </c>
      <c r="B24" s="6">
        <f t="shared" si="11"/>
        <v>1.4142156862745099</v>
      </c>
      <c r="C24" s="6">
        <f t="shared" si="6"/>
        <v>6.0073048828712672E-6</v>
      </c>
      <c r="D24" s="6">
        <f t="shared" si="7"/>
        <v>2.8284313725490198</v>
      </c>
      <c r="E24" s="6">
        <f t="shared" si="8"/>
        <v>1.4142135623746899</v>
      </c>
      <c r="F24" s="6">
        <f t="shared" si="9"/>
        <v>1.5018239652930855E-4</v>
      </c>
      <c r="G24" s="10" t="str">
        <f t="shared" si="10"/>
        <v>Sí</v>
      </c>
    </row>
    <row r="25" spans="1:7" x14ac:dyDescent="0.25">
      <c r="A25" s="5">
        <v>4</v>
      </c>
      <c r="B25" s="7">
        <f t="shared" si="11"/>
        <v>1.4142135623746899</v>
      </c>
      <c r="C25" s="7">
        <f t="shared" si="6"/>
        <v>4.510614104447086E-12</v>
      </c>
      <c r="D25" s="7">
        <f t="shared" si="7"/>
        <v>2.8284271247493797</v>
      </c>
      <c r="E25" s="7">
        <f t="shared" si="8"/>
        <v>1.4142135623730951</v>
      </c>
      <c r="F25" s="7">
        <f t="shared" si="9"/>
        <v>1.1276404038266872E-10</v>
      </c>
      <c r="G25" s="11" t="str">
        <f t="shared" si="10"/>
        <v>Sí</v>
      </c>
    </row>
    <row r="26" spans="1:7" x14ac:dyDescent="0.25">
      <c r="A26" s="5">
        <v>5</v>
      </c>
      <c r="B26" s="6">
        <f t="shared" si="11"/>
        <v>1.4142135623730951</v>
      </c>
      <c r="C26" s="6">
        <f t="shared" si="6"/>
        <v>0</v>
      </c>
      <c r="D26" s="6">
        <f t="shared" si="7"/>
        <v>2.8284271247461903</v>
      </c>
      <c r="E26" s="6">
        <f t="shared" si="8"/>
        <v>1.4142135623730951</v>
      </c>
      <c r="F26" s="6">
        <f t="shared" si="9"/>
        <v>0</v>
      </c>
      <c r="G26" s="10" t="str">
        <f t="shared" si="10"/>
        <v>Sí</v>
      </c>
    </row>
    <row r="27" spans="1:7" x14ac:dyDescent="0.25">
      <c r="A27" s="5">
        <v>6</v>
      </c>
      <c r="B27" s="7">
        <f t="shared" si="11"/>
        <v>1.4142135623730951</v>
      </c>
      <c r="C27" s="7">
        <f t="shared" si="6"/>
        <v>0</v>
      </c>
      <c r="D27" s="7">
        <f t="shared" si="7"/>
        <v>2.8284271247461903</v>
      </c>
      <c r="E27" s="7">
        <f t="shared" si="8"/>
        <v>1.4142135623730951</v>
      </c>
      <c r="F27" s="7">
        <f t="shared" si="9"/>
        <v>0</v>
      </c>
      <c r="G27" s="11" t="str">
        <f t="shared" si="10"/>
        <v>Sí</v>
      </c>
    </row>
    <row r="28" spans="1:7" x14ac:dyDescent="0.25">
      <c r="A28" s="5">
        <v>7</v>
      </c>
      <c r="B28" s="6">
        <f t="shared" si="11"/>
        <v>1.4142135623730951</v>
      </c>
      <c r="C28" s="6">
        <f t="shared" si="6"/>
        <v>0</v>
      </c>
      <c r="D28" s="6">
        <f t="shared" si="7"/>
        <v>2.8284271247461903</v>
      </c>
      <c r="E28" s="6">
        <f t="shared" si="8"/>
        <v>1.4142135623730951</v>
      </c>
      <c r="F28" s="6">
        <f t="shared" si="9"/>
        <v>0</v>
      </c>
      <c r="G28" s="10" t="str">
        <f t="shared" si="10"/>
        <v>Sí</v>
      </c>
    </row>
    <row r="29" spans="1:7" x14ac:dyDescent="0.25">
      <c r="A29" s="5">
        <v>8</v>
      </c>
      <c r="B29" s="7">
        <f t="shared" si="11"/>
        <v>1.4142135623730951</v>
      </c>
      <c r="C29" s="7">
        <f t="shared" si="6"/>
        <v>0</v>
      </c>
      <c r="D29" s="7">
        <f t="shared" si="7"/>
        <v>2.8284271247461903</v>
      </c>
      <c r="E29" s="7">
        <f t="shared" si="8"/>
        <v>1.4142135623730951</v>
      </c>
      <c r="F29" s="7">
        <f t="shared" si="9"/>
        <v>0</v>
      </c>
      <c r="G29" s="11" t="str">
        <f t="shared" si="10"/>
        <v>Sí</v>
      </c>
    </row>
    <row r="31" spans="1:7" ht="15.75" x14ac:dyDescent="0.25">
      <c r="A31" s="1" t="s">
        <v>39</v>
      </c>
      <c r="B31" s="1"/>
      <c r="C31" s="1"/>
      <c r="D31" s="1"/>
      <c r="E31" s="1"/>
      <c r="F31" s="1"/>
      <c r="G31" s="1"/>
    </row>
    <row r="32" spans="1:7" x14ac:dyDescent="0.25">
      <c r="A32" s="2" t="s">
        <v>5</v>
      </c>
      <c r="B32" s="3" t="s">
        <v>18</v>
      </c>
      <c r="C32" s="3"/>
      <c r="D32" s="3"/>
      <c r="E32" s="3"/>
      <c r="F32" s="3"/>
      <c r="G32" s="3"/>
    </row>
    <row r="33" spans="1:7" x14ac:dyDescent="0.25">
      <c r="A33" s="2" t="s">
        <v>28</v>
      </c>
      <c r="B33" s="3" t="s">
        <v>40</v>
      </c>
      <c r="C33" s="3"/>
      <c r="D33" s="3"/>
      <c r="E33" s="3"/>
      <c r="F33" s="3"/>
      <c r="G33" s="3"/>
    </row>
    <row r="34" spans="1:7" x14ac:dyDescent="0.25">
      <c r="A34" s="2" t="s">
        <v>30</v>
      </c>
      <c r="B34" s="3">
        <v>3</v>
      </c>
      <c r="C34" s="3"/>
      <c r="D34" s="3"/>
      <c r="E34" s="3"/>
      <c r="F34" s="3"/>
      <c r="G34" s="3"/>
    </row>
    <row r="35" spans="1:7" ht="30" x14ac:dyDescent="0.25">
      <c r="A35" s="2" t="s">
        <v>9</v>
      </c>
      <c r="B35" s="3">
        <v>1E-3</v>
      </c>
      <c r="C35" s="3"/>
      <c r="D35" s="3"/>
      <c r="E35" s="3"/>
      <c r="F35" s="3"/>
      <c r="G35" s="3"/>
    </row>
    <row r="36" spans="1:7" ht="30" x14ac:dyDescent="0.25">
      <c r="A36" s="4" t="s">
        <v>10</v>
      </c>
      <c r="B36" s="4" t="s">
        <v>31</v>
      </c>
      <c r="C36" s="4" t="s">
        <v>32</v>
      </c>
      <c r="D36" s="4" t="s">
        <v>33</v>
      </c>
      <c r="E36" s="4" t="s">
        <v>34</v>
      </c>
      <c r="F36" s="4" t="s">
        <v>35</v>
      </c>
      <c r="G36" s="4" t="s">
        <v>36</v>
      </c>
    </row>
    <row r="37" spans="1:7" x14ac:dyDescent="0.25">
      <c r="A37" s="5">
        <v>1</v>
      </c>
      <c r="B37" s="6">
        <f>$B$34</f>
        <v>3</v>
      </c>
      <c r="C37" s="6">
        <f t="shared" ref="C37:C44" si="12">B37^3-2*B37-5</f>
        <v>16</v>
      </c>
      <c r="D37" s="6">
        <f t="shared" ref="D37:D44" si="13">3*B37^2-2</f>
        <v>25</v>
      </c>
      <c r="E37" s="6">
        <f t="shared" ref="E37:E44" si="14">B37-(C37/D37)</f>
        <v>2.36</v>
      </c>
      <c r="F37" s="6">
        <f t="shared" ref="F37:F44" si="15">ABS((E37-B37)/E37)*100</f>
        <v>27.118644067796616</v>
      </c>
      <c r="G37" s="10" t="str">
        <f t="shared" ref="G37:G44" si="16">IF(F37&lt;$B$35,"Sí","No")</f>
        <v>No</v>
      </c>
    </row>
    <row r="38" spans="1:7" x14ac:dyDescent="0.25">
      <c r="A38" s="5">
        <v>2</v>
      </c>
      <c r="B38" s="7">
        <f t="shared" ref="B38:B44" si="17">E37</f>
        <v>2.36</v>
      </c>
      <c r="C38" s="7">
        <f t="shared" si="12"/>
        <v>3.4242559999999997</v>
      </c>
      <c r="D38" s="7">
        <f t="shared" si="13"/>
        <v>14.708799999999997</v>
      </c>
      <c r="E38" s="7">
        <f t="shared" si="14"/>
        <v>2.1271967801588163</v>
      </c>
      <c r="F38" s="7">
        <f t="shared" si="15"/>
        <v>10.944131827042467</v>
      </c>
      <c r="G38" s="11" t="str">
        <f t="shared" si="16"/>
        <v>No</v>
      </c>
    </row>
    <row r="39" spans="1:7" x14ac:dyDescent="0.25">
      <c r="A39" s="5">
        <v>3</v>
      </c>
      <c r="B39" s="6">
        <f t="shared" si="17"/>
        <v>2.1271967801588163</v>
      </c>
      <c r="C39" s="6">
        <f t="shared" si="12"/>
        <v>0.37109984624719594</v>
      </c>
      <c r="D39" s="6">
        <f t="shared" si="13"/>
        <v>11.574898424554107</v>
      </c>
      <c r="E39" s="6">
        <f t="shared" si="14"/>
        <v>2.095136036933634</v>
      </c>
      <c r="F39" s="6">
        <f t="shared" si="15"/>
        <v>1.5302463735054272</v>
      </c>
      <c r="G39" s="10" t="str">
        <f t="shared" si="16"/>
        <v>No</v>
      </c>
    </row>
    <row r="40" spans="1:7" x14ac:dyDescent="0.25">
      <c r="A40" s="5">
        <v>4</v>
      </c>
      <c r="B40" s="7">
        <f t="shared" si="17"/>
        <v>2.095136036933634</v>
      </c>
      <c r="C40" s="7">
        <f t="shared" si="12"/>
        <v>6.5266259536862492E-3</v>
      </c>
      <c r="D40" s="7">
        <f t="shared" si="13"/>
        <v>11.168785039773923</v>
      </c>
      <c r="E40" s="7">
        <f t="shared" si="14"/>
        <v>2.0945516738242675</v>
      </c>
      <c r="F40" s="7">
        <f t="shared" si="15"/>
        <v>2.7899197554747002E-2</v>
      </c>
      <c r="G40" s="11" t="str">
        <f t="shared" si="16"/>
        <v>No</v>
      </c>
    </row>
    <row r="41" spans="1:7" x14ac:dyDescent="0.25">
      <c r="A41" s="5">
        <v>5</v>
      </c>
      <c r="B41" s="6">
        <f t="shared" si="17"/>
        <v>2.0945516738242675</v>
      </c>
      <c r="C41" s="6">
        <f t="shared" si="12"/>
        <v>2.1461431423119848E-6</v>
      </c>
      <c r="D41" s="6">
        <f t="shared" si="13"/>
        <v>11.161440142960123</v>
      </c>
      <c r="E41" s="6">
        <f t="shared" si="14"/>
        <v>2.0945514815423474</v>
      </c>
      <c r="F41" s="6">
        <f t="shared" si="15"/>
        <v>9.1800999812265943E-6</v>
      </c>
      <c r="G41" s="10" t="str">
        <f t="shared" si="16"/>
        <v>Sí</v>
      </c>
    </row>
    <row r="42" spans="1:7" x14ac:dyDescent="0.25">
      <c r="A42" s="5">
        <v>6</v>
      </c>
      <c r="B42" s="7">
        <f t="shared" si="17"/>
        <v>2.0945514815423474</v>
      </c>
      <c r="C42" s="7">
        <f t="shared" si="12"/>
        <v>2.3270274596143281E-13</v>
      </c>
      <c r="D42" s="7">
        <f t="shared" si="13"/>
        <v>11.161437726493727</v>
      </c>
      <c r="E42" s="7">
        <f t="shared" si="14"/>
        <v>2.0945514815423265</v>
      </c>
      <c r="F42" s="7">
        <f t="shared" si="15"/>
        <v>9.9649939602265924E-13</v>
      </c>
      <c r="G42" s="11" t="str">
        <f t="shared" si="16"/>
        <v>Sí</v>
      </c>
    </row>
    <row r="43" spans="1:7" x14ac:dyDescent="0.25">
      <c r="A43" s="5">
        <v>7</v>
      </c>
      <c r="B43" s="6">
        <f t="shared" si="17"/>
        <v>2.0945514815423265</v>
      </c>
      <c r="C43" s="6">
        <f t="shared" si="12"/>
        <v>0</v>
      </c>
      <c r="D43" s="6">
        <f t="shared" si="13"/>
        <v>11.161437726493464</v>
      </c>
      <c r="E43" s="6">
        <f t="shared" si="14"/>
        <v>2.0945514815423265</v>
      </c>
      <c r="F43" s="6">
        <f t="shared" si="15"/>
        <v>0</v>
      </c>
      <c r="G43" s="10" t="str">
        <f t="shared" si="16"/>
        <v>Sí</v>
      </c>
    </row>
    <row r="44" spans="1:7" x14ac:dyDescent="0.25">
      <c r="A44" s="5">
        <v>8</v>
      </c>
      <c r="B44" s="7">
        <f t="shared" si="17"/>
        <v>2.0945514815423265</v>
      </c>
      <c r="C44" s="7">
        <f t="shared" si="12"/>
        <v>0</v>
      </c>
      <c r="D44" s="7">
        <f t="shared" si="13"/>
        <v>11.161437726493464</v>
      </c>
      <c r="E44" s="7">
        <f t="shared" si="14"/>
        <v>2.0945514815423265</v>
      </c>
      <c r="F44" s="7">
        <f t="shared" si="15"/>
        <v>0</v>
      </c>
      <c r="G44" s="11" t="str">
        <f t="shared" si="16"/>
        <v>Sí</v>
      </c>
    </row>
    <row r="46" spans="1:7" ht="15.75" x14ac:dyDescent="0.25">
      <c r="A46" s="1" t="s">
        <v>41</v>
      </c>
      <c r="B46" s="1"/>
      <c r="C46" s="1"/>
      <c r="D46" s="1"/>
      <c r="E46" s="1"/>
      <c r="F46" s="1"/>
      <c r="G46" s="1"/>
    </row>
    <row r="47" spans="1:7" x14ac:dyDescent="0.25">
      <c r="A47" s="2" t="s">
        <v>5</v>
      </c>
      <c r="B47" s="3" t="s">
        <v>20</v>
      </c>
      <c r="C47" s="3"/>
      <c r="D47" s="3"/>
      <c r="E47" s="3"/>
      <c r="F47" s="3"/>
      <c r="G47" s="3"/>
    </row>
    <row r="48" spans="1:7" x14ac:dyDescent="0.25">
      <c r="A48" s="2" t="s">
        <v>28</v>
      </c>
      <c r="B48" s="3" t="s">
        <v>42</v>
      </c>
      <c r="C48" s="3"/>
      <c r="D48" s="3"/>
      <c r="E48" s="3"/>
      <c r="F48" s="3"/>
      <c r="G48" s="3"/>
    </row>
    <row r="49" spans="1:7" x14ac:dyDescent="0.25">
      <c r="A49" s="2" t="s">
        <v>30</v>
      </c>
      <c r="B49" s="3">
        <v>2</v>
      </c>
      <c r="C49" s="3"/>
      <c r="D49" s="3"/>
      <c r="E49" s="3"/>
      <c r="F49" s="3"/>
      <c r="G49" s="3"/>
    </row>
    <row r="50" spans="1:7" ht="30" x14ac:dyDescent="0.25">
      <c r="A50" s="2" t="s">
        <v>9</v>
      </c>
      <c r="B50" s="3">
        <v>1E-3</v>
      </c>
      <c r="C50" s="3"/>
      <c r="D50" s="3"/>
      <c r="E50" s="3"/>
      <c r="F50" s="3"/>
      <c r="G50" s="3"/>
    </row>
    <row r="51" spans="1:7" ht="30" x14ac:dyDescent="0.25">
      <c r="A51" s="4" t="s">
        <v>10</v>
      </c>
      <c r="B51" s="4" t="s">
        <v>31</v>
      </c>
      <c r="C51" s="4" t="s">
        <v>32</v>
      </c>
      <c r="D51" s="4" t="s">
        <v>33</v>
      </c>
      <c r="E51" s="4" t="s">
        <v>34</v>
      </c>
      <c r="F51" s="4" t="s">
        <v>35</v>
      </c>
      <c r="G51" s="4" t="s">
        <v>36</v>
      </c>
    </row>
    <row r="52" spans="1:7" x14ac:dyDescent="0.25">
      <c r="A52" s="5">
        <v>1</v>
      </c>
      <c r="B52" s="6">
        <f>$B$49</f>
        <v>2</v>
      </c>
      <c r="C52" s="6">
        <f t="shared" ref="C52:C59" si="18">2*B52^2-3</f>
        <v>5</v>
      </c>
      <c r="D52" s="6">
        <f t="shared" ref="D52:D59" si="19">4*B52</f>
        <v>8</v>
      </c>
      <c r="E52" s="6">
        <f t="shared" ref="E52:E59" si="20">B52-(C52/D52)</f>
        <v>1.375</v>
      </c>
      <c r="F52" s="6">
        <f t="shared" ref="F52:F59" si="21">ABS((E52-B52)/E52)*100</f>
        <v>45.454545454545453</v>
      </c>
      <c r="G52" s="10" t="str">
        <f t="shared" ref="G52:G59" si="22">IF(F52&lt;$B$50,"Sí","No")</f>
        <v>No</v>
      </c>
    </row>
    <row r="53" spans="1:7" x14ac:dyDescent="0.25">
      <c r="A53" s="5">
        <v>2</v>
      </c>
      <c r="B53" s="7">
        <f t="shared" ref="B53:B59" si="23">E52</f>
        <v>1.375</v>
      </c>
      <c r="C53" s="7">
        <f t="shared" si="18"/>
        <v>0.78125</v>
      </c>
      <c r="D53" s="7">
        <f t="shared" si="19"/>
        <v>5.5</v>
      </c>
      <c r="E53" s="7">
        <f t="shared" si="20"/>
        <v>1.2329545454545454</v>
      </c>
      <c r="F53" s="7">
        <f t="shared" si="21"/>
        <v>11.520737327188945</v>
      </c>
      <c r="G53" s="11" t="str">
        <f t="shared" si="22"/>
        <v>No</v>
      </c>
    </row>
    <row r="54" spans="1:7" x14ac:dyDescent="0.25">
      <c r="A54" s="5">
        <v>3</v>
      </c>
      <c r="B54" s="6">
        <f t="shared" si="23"/>
        <v>1.2329545454545454</v>
      </c>
      <c r="C54" s="6">
        <f t="shared" si="18"/>
        <v>4.0353822314049381E-2</v>
      </c>
      <c r="D54" s="6">
        <f t="shared" si="19"/>
        <v>4.9318181818181817</v>
      </c>
      <c r="E54" s="6">
        <f t="shared" si="20"/>
        <v>1.2247722036028488</v>
      </c>
      <c r="F54" s="6">
        <f t="shared" si="21"/>
        <v>0.66807050548886315</v>
      </c>
      <c r="G54" s="10" t="str">
        <f t="shared" si="22"/>
        <v>No</v>
      </c>
    </row>
    <row r="55" spans="1:7" x14ac:dyDescent="0.25">
      <c r="A55" s="5">
        <v>4</v>
      </c>
      <c r="B55" s="7">
        <f t="shared" si="23"/>
        <v>1.2247722036028488</v>
      </c>
      <c r="C55" s="7">
        <f t="shared" si="18"/>
        <v>1.3390143635616525E-4</v>
      </c>
      <c r="D55" s="7">
        <f t="shared" si="19"/>
        <v>4.8990888144113951</v>
      </c>
      <c r="E55" s="7">
        <f t="shared" si="20"/>
        <v>1.2247448716965641</v>
      </c>
      <c r="F55" s="7">
        <f t="shared" si="21"/>
        <v>2.2316408026119374E-3</v>
      </c>
      <c r="G55" s="11" t="str">
        <f t="shared" si="22"/>
        <v>No</v>
      </c>
    </row>
    <row r="56" spans="1:7" x14ac:dyDescent="0.25">
      <c r="A56" s="5">
        <v>5</v>
      </c>
      <c r="B56" s="6">
        <f t="shared" si="23"/>
        <v>1.2247448716965641</v>
      </c>
      <c r="C56" s="6">
        <f t="shared" si="18"/>
        <v>1.4940666481777498E-9</v>
      </c>
      <c r="D56" s="6">
        <f t="shared" si="19"/>
        <v>4.8989794867862564</v>
      </c>
      <c r="E56" s="6">
        <f t="shared" si="20"/>
        <v>1.2247448713915889</v>
      </c>
      <c r="F56" s="6">
        <f t="shared" si="21"/>
        <v>2.490111723379093E-8</v>
      </c>
      <c r="G56" s="10" t="str">
        <f t="shared" si="22"/>
        <v>Sí</v>
      </c>
    </row>
    <row r="57" spans="1:7" x14ac:dyDescent="0.25">
      <c r="A57" s="5">
        <v>6</v>
      </c>
      <c r="B57" s="7">
        <f t="shared" si="23"/>
        <v>1.2247448713915889</v>
      </c>
      <c r="C57" s="7">
        <f t="shared" si="18"/>
        <v>0</v>
      </c>
      <c r="D57" s="7">
        <f t="shared" si="19"/>
        <v>4.8989794855663558</v>
      </c>
      <c r="E57" s="7">
        <f t="shared" si="20"/>
        <v>1.2247448713915889</v>
      </c>
      <c r="F57" s="7">
        <f t="shared" si="21"/>
        <v>0</v>
      </c>
      <c r="G57" s="11" t="str">
        <f t="shared" si="22"/>
        <v>Sí</v>
      </c>
    </row>
    <row r="58" spans="1:7" x14ac:dyDescent="0.25">
      <c r="A58" s="5">
        <v>7</v>
      </c>
      <c r="B58" s="6">
        <f t="shared" si="23"/>
        <v>1.2247448713915889</v>
      </c>
      <c r="C58" s="6">
        <f t="shared" si="18"/>
        <v>0</v>
      </c>
      <c r="D58" s="6">
        <f t="shared" si="19"/>
        <v>4.8989794855663558</v>
      </c>
      <c r="E58" s="6">
        <f t="shared" si="20"/>
        <v>1.2247448713915889</v>
      </c>
      <c r="F58" s="6">
        <f t="shared" si="21"/>
        <v>0</v>
      </c>
      <c r="G58" s="10" t="str">
        <f t="shared" si="22"/>
        <v>Sí</v>
      </c>
    </row>
    <row r="59" spans="1:7" x14ac:dyDescent="0.25">
      <c r="A59" s="5">
        <v>8</v>
      </c>
      <c r="B59" s="7">
        <f t="shared" si="23"/>
        <v>1.2247448713915889</v>
      </c>
      <c r="C59" s="7">
        <f t="shared" si="18"/>
        <v>0</v>
      </c>
      <c r="D59" s="7">
        <f t="shared" si="19"/>
        <v>4.8989794855663558</v>
      </c>
      <c r="E59" s="7">
        <f t="shared" si="20"/>
        <v>1.2247448713915889</v>
      </c>
      <c r="F59" s="7">
        <f t="shared" si="21"/>
        <v>0</v>
      </c>
      <c r="G59" s="11" t="str">
        <f t="shared" si="22"/>
        <v>Sí</v>
      </c>
    </row>
  </sheetData>
  <mergeCells count="20">
    <mergeCell ref="B49:G49"/>
    <mergeCell ref="B50:G50"/>
    <mergeCell ref="B33:G33"/>
    <mergeCell ref="B34:G34"/>
    <mergeCell ref="B35:G35"/>
    <mergeCell ref="A46:G46"/>
    <mergeCell ref="B47:G47"/>
    <mergeCell ref="B48:G48"/>
    <mergeCell ref="B17:G17"/>
    <mergeCell ref="B18:G18"/>
    <mergeCell ref="B19:G19"/>
    <mergeCell ref="B20:G20"/>
    <mergeCell ref="A31:G31"/>
    <mergeCell ref="B32:G32"/>
    <mergeCell ref="A1:G1"/>
    <mergeCell ref="B2:G2"/>
    <mergeCell ref="B3:G3"/>
    <mergeCell ref="B4:G4"/>
    <mergeCell ref="B5:G5"/>
    <mergeCell ref="A16:G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6A96-99E6-4F98-B6C4-1577D435897B}">
  <dimension ref="A1:H59"/>
  <sheetViews>
    <sheetView tabSelected="1" topLeftCell="A56" workbookViewId="0">
      <selection activeCell="K47" sqref="K47"/>
    </sheetView>
  </sheetViews>
  <sheetFormatPr baseColWidth="10" defaultRowHeight="15" x14ac:dyDescent="0.25"/>
  <cols>
    <col min="1" max="1" width="13.5703125" customWidth="1"/>
  </cols>
  <sheetData>
    <row r="1" spans="1:8" ht="15.75" x14ac:dyDescent="0.25">
      <c r="A1" s="1" t="s">
        <v>43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5</v>
      </c>
      <c r="B2" s="3" t="s">
        <v>6</v>
      </c>
      <c r="C2" s="3"/>
      <c r="D2" s="3"/>
      <c r="E2" s="3"/>
      <c r="F2" s="3"/>
      <c r="G2" s="3"/>
      <c r="H2" s="3"/>
    </row>
    <row r="3" spans="1:8" x14ac:dyDescent="0.25">
      <c r="A3" s="2" t="s">
        <v>30</v>
      </c>
      <c r="B3" s="3">
        <v>1</v>
      </c>
      <c r="C3" s="3"/>
      <c r="D3" s="3"/>
      <c r="E3" s="3"/>
      <c r="F3" s="3"/>
      <c r="G3" s="3"/>
      <c r="H3" s="3"/>
    </row>
    <row r="4" spans="1:8" x14ac:dyDescent="0.25">
      <c r="A4" s="2" t="s">
        <v>44</v>
      </c>
      <c r="B4" s="3">
        <v>2</v>
      </c>
      <c r="C4" s="3"/>
      <c r="D4" s="3"/>
      <c r="E4" s="3"/>
      <c r="F4" s="3"/>
      <c r="G4" s="3"/>
      <c r="H4" s="3"/>
    </row>
    <row r="5" spans="1:8" ht="30" x14ac:dyDescent="0.25">
      <c r="A5" s="2" t="s">
        <v>9</v>
      </c>
      <c r="B5" s="3">
        <v>1E-3</v>
      </c>
      <c r="C5" s="3"/>
      <c r="D5" s="3"/>
      <c r="E5" s="3"/>
      <c r="F5" s="3"/>
      <c r="G5" s="3"/>
      <c r="H5" s="3"/>
    </row>
    <row r="6" spans="1:8" ht="60" x14ac:dyDescent="0.25">
      <c r="A6" s="4" t="s">
        <v>10</v>
      </c>
      <c r="B6" s="4" t="s">
        <v>45</v>
      </c>
      <c r="C6" s="4" t="s">
        <v>31</v>
      </c>
      <c r="D6" s="4" t="s">
        <v>46</v>
      </c>
      <c r="E6" s="4" t="s">
        <v>32</v>
      </c>
      <c r="F6" s="4" t="s">
        <v>47</v>
      </c>
      <c r="G6" s="4" t="s">
        <v>3</v>
      </c>
      <c r="H6" s="4" t="s">
        <v>36</v>
      </c>
    </row>
    <row r="7" spans="1:8" x14ac:dyDescent="0.25">
      <c r="A7" s="5">
        <v>1</v>
      </c>
      <c r="B7" s="6">
        <f>$B$3</f>
        <v>1</v>
      </c>
      <c r="C7" s="6">
        <f>$B$4</f>
        <v>2</v>
      </c>
      <c r="D7" s="6">
        <f t="shared" ref="D7:E14" si="0">B7^3-B7-1</f>
        <v>-1</v>
      </c>
      <c r="E7" s="6">
        <f t="shared" si="0"/>
        <v>5</v>
      </c>
      <c r="F7" s="6">
        <f t="shared" ref="F7:F14" si="1">IFERROR(C7-E7*(C7-B7)/(E7-D7),E7)</f>
        <v>1.1666666666666665</v>
      </c>
      <c r="G7" s="6">
        <f>ABS(C7-B7)</f>
        <v>1</v>
      </c>
      <c r="H7" s="6" t="str">
        <f t="shared" ref="H7:H14" si="2">IF(G7&lt;$B$5,"Sí","No")</f>
        <v>No</v>
      </c>
    </row>
    <row r="8" spans="1:8" x14ac:dyDescent="0.25">
      <c r="A8" s="5">
        <v>2</v>
      </c>
      <c r="B8" s="7">
        <f t="shared" ref="B8:B14" si="3">C7</f>
        <v>2</v>
      </c>
      <c r="C8" s="7">
        <f t="shared" ref="C8:C14" si="4">F7</f>
        <v>1.1666666666666665</v>
      </c>
      <c r="D8" s="7">
        <f t="shared" si="0"/>
        <v>5</v>
      </c>
      <c r="E8" s="7">
        <f t="shared" si="0"/>
        <v>-0.57870370370370416</v>
      </c>
      <c r="F8" s="7">
        <f t="shared" si="1"/>
        <v>1.2531120331950207</v>
      </c>
      <c r="G8" s="7">
        <f t="shared" ref="G8:G14" si="5">ABS((F8-C8)/F8)</f>
        <v>6.898454746136877E-2</v>
      </c>
      <c r="H8" s="7" t="str">
        <f t="shared" si="2"/>
        <v>No</v>
      </c>
    </row>
    <row r="9" spans="1:8" x14ac:dyDescent="0.25">
      <c r="A9" s="5">
        <v>3</v>
      </c>
      <c r="B9" s="6">
        <f t="shared" si="3"/>
        <v>1.1666666666666665</v>
      </c>
      <c r="C9" s="6">
        <f t="shared" si="4"/>
        <v>1.2531120331950207</v>
      </c>
      <c r="D9" s="6">
        <f t="shared" si="0"/>
        <v>-0.57870370370370416</v>
      </c>
      <c r="E9" s="6">
        <f t="shared" si="0"/>
        <v>-0.28536302963931992</v>
      </c>
      <c r="F9" s="6">
        <f t="shared" si="1"/>
        <v>1.3372064458416566</v>
      </c>
      <c r="G9" s="6">
        <f t="shared" si="5"/>
        <v>6.2888129883120369E-2</v>
      </c>
      <c r="H9" s="6" t="str">
        <f t="shared" si="2"/>
        <v>No</v>
      </c>
    </row>
    <row r="10" spans="1:8" x14ac:dyDescent="0.25">
      <c r="A10" s="5">
        <v>4</v>
      </c>
      <c r="B10" s="7">
        <f t="shared" si="3"/>
        <v>1.2531120331950207</v>
      </c>
      <c r="C10" s="7">
        <f t="shared" si="4"/>
        <v>1.3372064458416566</v>
      </c>
      <c r="D10" s="7">
        <f t="shared" si="0"/>
        <v>-0.28536302963931992</v>
      </c>
      <c r="E10" s="7">
        <f t="shared" si="0"/>
        <v>5.3880586675675968E-2</v>
      </c>
      <c r="F10" s="7">
        <f t="shared" si="1"/>
        <v>1.323850096387641</v>
      </c>
      <c r="G10" s="7">
        <f t="shared" si="5"/>
        <v>1.0089019512451454E-2</v>
      </c>
      <c r="H10" s="7" t="str">
        <f t="shared" si="2"/>
        <v>No</v>
      </c>
    </row>
    <row r="11" spans="1:8" x14ac:dyDescent="0.25">
      <c r="A11" s="5">
        <v>5</v>
      </c>
      <c r="B11" s="6">
        <f t="shared" si="3"/>
        <v>1.3372064458416566</v>
      </c>
      <c r="C11" s="6">
        <f t="shared" si="4"/>
        <v>1.323850096387641</v>
      </c>
      <c r="D11" s="6">
        <f t="shared" si="0"/>
        <v>5.3880586675675968E-2</v>
      </c>
      <c r="E11" s="6">
        <f t="shared" si="0"/>
        <v>-3.6981154401642957E-3</v>
      </c>
      <c r="F11" s="6">
        <f t="shared" si="1"/>
        <v>1.324707936532088</v>
      </c>
      <c r="G11" s="6">
        <f t="shared" si="5"/>
        <v>6.475692647337207E-4</v>
      </c>
      <c r="H11" s="6" t="str">
        <f t="shared" si="2"/>
        <v>Sí</v>
      </c>
    </row>
    <row r="12" spans="1:8" x14ac:dyDescent="0.25">
      <c r="A12" s="5">
        <v>6</v>
      </c>
      <c r="B12" s="7">
        <f t="shared" si="3"/>
        <v>1.323850096387641</v>
      </c>
      <c r="C12" s="7">
        <f t="shared" si="4"/>
        <v>1.324707936532088</v>
      </c>
      <c r="D12" s="7">
        <f t="shared" si="0"/>
        <v>-3.6981154401642957E-3</v>
      </c>
      <c r="E12" s="7">
        <f t="shared" si="0"/>
        <v>-4.2734262810206758E-5</v>
      </c>
      <c r="F12" s="7">
        <f t="shared" si="1"/>
        <v>1.3247179653538177</v>
      </c>
      <c r="G12" s="7">
        <f t="shared" si="5"/>
        <v>7.5705334962045925E-6</v>
      </c>
      <c r="H12" s="7" t="str">
        <f t="shared" si="2"/>
        <v>Sí</v>
      </c>
    </row>
    <row r="13" spans="1:8" x14ac:dyDescent="0.25">
      <c r="A13" s="5">
        <v>7</v>
      </c>
      <c r="B13" s="6">
        <f t="shared" si="3"/>
        <v>1.324707936532088</v>
      </c>
      <c r="C13" s="6">
        <f t="shared" si="4"/>
        <v>1.3247179653538177</v>
      </c>
      <c r="D13" s="6">
        <f t="shared" si="0"/>
        <v>-4.2734262810206758E-5</v>
      </c>
      <c r="E13" s="6">
        <f t="shared" si="0"/>
        <v>3.4582214647471687E-8</v>
      </c>
      <c r="F13" s="6">
        <f t="shared" si="1"/>
        <v>1.3247179572446703</v>
      </c>
      <c r="G13" s="6">
        <f t="shared" si="5"/>
        <v>6.1214142295422613E-9</v>
      </c>
      <c r="H13" s="6" t="str">
        <f t="shared" si="2"/>
        <v>Sí</v>
      </c>
    </row>
    <row r="14" spans="1:8" x14ac:dyDescent="0.25">
      <c r="A14" s="5">
        <v>8</v>
      </c>
      <c r="B14" s="7">
        <f t="shared" si="3"/>
        <v>1.3247179653538177</v>
      </c>
      <c r="C14" s="7">
        <f t="shared" si="4"/>
        <v>1.3247179572446703</v>
      </c>
      <c r="D14" s="7">
        <f t="shared" si="0"/>
        <v>3.4582214647471687E-8</v>
      </c>
      <c r="E14" s="7">
        <f t="shared" si="0"/>
        <v>-3.2285285556099552E-13</v>
      </c>
      <c r="F14" s="7">
        <f t="shared" si="1"/>
        <v>1.3247179572447461</v>
      </c>
      <c r="G14" s="7">
        <f t="shared" si="5"/>
        <v>5.7157230990450497E-14</v>
      </c>
      <c r="H14" s="7" t="str">
        <f t="shared" si="2"/>
        <v>Sí</v>
      </c>
    </row>
    <row r="16" spans="1:8" ht="15.75" x14ac:dyDescent="0.25">
      <c r="A16" s="1" t="s">
        <v>48</v>
      </c>
      <c r="B16" s="1"/>
      <c r="C16" s="1"/>
      <c r="D16" s="1"/>
      <c r="E16" s="1"/>
      <c r="F16" s="1"/>
      <c r="G16" s="1"/>
      <c r="H16" s="1"/>
    </row>
    <row r="17" spans="1:8" x14ac:dyDescent="0.25">
      <c r="A17" s="2" t="s">
        <v>5</v>
      </c>
      <c r="B17" s="3" t="s">
        <v>16</v>
      </c>
      <c r="C17" s="3"/>
      <c r="D17" s="3"/>
      <c r="E17" s="3"/>
      <c r="F17" s="3"/>
      <c r="G17" s="3"/>
      <c r="H17" s="3"/>
    </row>
    <row r="18" spans="1:8" x14ac:dyDescent="0.25">
      <c r="A18" s="2" t="s">
        <v>30</v>
      </c>
      <c r="B18" s="3">
        <v>1</v>
      </c>
      <c r="C18" s="3"/>
      <c r="D18" s="3"/>
      <c r="E18" s="3"/>
      <c r="F18" s="3"/>
      <c r="G18" s="3"/>
      <c r="H18" s="3"/>
    </row>
    <row r="19" spans="1:8" x14ac:dyDescent="0.25">
      <c r="A19" s="2" t="s">
        <v>44</v>
      </c>
      <c r="B19" s="3">
        <v>2</v>
      </c>
      <c r="C19" s="3"/>
      <c r="D19" s="3"/>
      <c r="E19" s="3"/>
      <c r="F19" s="3"/>
      <c r="G19" s="3"/>
      <c r="H19" s="3"/>
    </row>
    <row r="20" spans="1:8" ht="30" x14ac:dyDescent="0.25">
      <c r="A20" s="2" t="s">
        <v>9</v>
      </c>
      <c r="B20" s="3">
        <v>1E-3</v>
      </c>
      <c r="C20" s="3"/>
      <c r="D20" s="3"/>
      <c r="E20" s="3"/>
      <c r="F20" s="3"/>
      <c r="G20" s="3"/>
      <c r="H20" s="3"/>
    </row>
    <row r="21" spans="1:8" ht="60" x14ac:dyDescent="0.25">
      <c r="A21" s="4" t="s">
        <v>10</v>
      </c>
      <c r="B21" s="4" t="s">
        <v>45</v>
      </c>
      <c r="C21" s="4" t="s">
        <v>31</v>
      </c>
      <c r="D21" s="4" t="s">
        <v>46</v>
      </c>
      <c r="E21" s="4" t="s">
        <v>32</v>
      </c>
      <c r="F21" s="4" t="s">
        <v>47</v>
      </c>
      <c r="G21" s="4" t="s">
        <v>3</v>
      </c>
      <c r="H21" s="4" t="s">
        <v>36</v>
      </c>
    </row>
    <row r="22" spans="1:8" x14ac:dyDescent="0.25">
      <c r="A22" s="5">
        <v>1</v>
      </c>
      <c r="B22" s="6">
        <f>$B$18</f>
        <v>1</v>
      </c>
      <c r="C22" s="6">
        <f>$B$19</f>
        <v>2</v>
      </c>
      <c r="D22" s="6">
        <f t="shared" ref="D22:E29" si="6">B22^2-2</f>
        <v>-1</v>
      </c>
      <c r="E22" s="6">
        <f t="shared" si="6"/>
        <v>2</v>
      </c>
      <c r="F22" s="6">
        <f t="shared" ref="F22:F28" si="7">IFERROR(C22-E22*(C22-B22)/(E22-D22),E22)</f>
        <v>1.3333333333333335</v>
      </c>
      <c r="G22" s="6">
        <f>ABS(C22-B22)</f>
        <v>1</v>
      </c>
      <c r="H22" s="6" t="str">
        <f t="shared" ref="H22:H28" si="8">IF(G22&lt;$B$20,"Sí","No")</f>
        <v>No</v>
      </c>
    </row>
    <row r="23" spans="1:8" x14ac:dyDescent="0.25">
      <c r="A23" s="5">
        <v>2</v>
      </c>
      <c r="B23" s="7">
        <f t="shared" ref="B23:B29" si="9">C22</f>
        <v>2</v>
      </c>
      <c r="C23" s="7">
        <f t="shared" ref="C23:C29" si="10">F22</f>
        <v>1.3333333333333335</v>
      </c>
      <c r="D23" s="7">
        <f t="shared" si="6"/>
        <v>2</v>
      </c>
      <c r="E23" s="7">
        <f t="shared" si="6"/>
        <v>-0.22222222222222188</v>
      </c>
      <c r="F23" s="7">
        <f t="shared" si="7"/>
        <v>1.4000000000000001</v>
      </c>
      <c r="G23" s="7">
        <f t="shared" ref="G23:G28" si="11">ABS((F23-C23)/F23)</f>
        <v>4.7619047619047603E-2</v>
      </c>
      <c r="H23" s="7" t="str">
        <f t="shared" si="8"/>
        <v>No</v>
      </c>
    </row>
    <row r="24" spans="1:8" x14ac:dyDescent="0.25">
      <c r="A24" s="5">
        <v>3</v>
      </c>
      <c r="B24" s="6">
        <f t="shared" si="9"/>
        <v>1.3333333333333335</v>
      </c>
      <c r="C24" s="6">
        <f t="shared" si="10"/>
        <v>1.4000000000000001</v>
      </c>
      <c r="D24" s="6">
        <f t="shared" si="6"/>
        <v>-0.22222222222222188</v>
      </c>
      <c r="E24" s="6">
        <f t="shared" si="6"/>
        <v>-3.9999999999999591E-2</v>
      </c>
      <c r="F24" s="6">
        <f t="shared" si="7"/>
        <v>1.4146341463414633</v>
      </c>
      <c r="G24" s="6">
        <f t="shared" si="11"/>
        <v>1.0344827586206749E-2</v>
      </c>
      <c r="H24" s="6" t="str">
        <f t="shared" si="8"/>
        <v>No</v>
      </c>
    </row>
    <row r="25" spans="1:8" x14ac:dyDescent="0.25">
      <c r="A25" s="5">
        <v>4</v>
      </c>
      <c r="B25" s="7">
        <f t="shared" si="9"/>
        <v>1.4000000000000001</v>
      </c>
      <c r="C25" s="7">
        <f t="shared" si="10"/>
        <v>1.4146341463414633</v>
      </c>
      <c r="D25" s="7">
        <f t="shared" si="6"/>
        <v>-3.9999999999999591E-2</v>
      </c>
      <c r="E25" s="7">
        <f t="shared" si="6"/>
        <v>1.1897679952408424E-3</v>
      </c>
      <c r="F25" s="7">
        <f t="shared" si="7"/>
        <v>1.4142114384748701</v>
      </c>
      <c r="G25" s="7">
        <f t="shared" si="11"/>
        <v>2.9890004782391323E-4</v>
      </c>
      <c r="H25" s="7" t="str">
        <f t="shared" si="8"/>
        <v>Sí</v>
      </c>
    </row>
    <row r="26" spans="1:8" x14ac:dyDescent="0.25">
      <c r="A26" s="5">
        <v>5</v>
      </c>
      <c r="B26" s="6">
        <f t="shared" si="9"/>
        <v>1.4146341463414633</v>
      </c>
      <c r="C26" s="6">
        <f t="shared" si="10"/>
        <v>1.4142114384748701</v>
      </c>
      <c r="D26" s="6">
        <f t="shared" si="6"/>
        <v>1.1897679952408424E-3</v>
      </c>
      <c r="E26" s="6">
        <f t="shared" si="6"/>
        <v>-6.0072868388605372E-6</v>
      </c>
      <c r="F26" s="6">
        <f t="shared" si="7"/>
        <v>1.4142135620573204</v>
      </c>
      <c r="G26" s="6">
        <f t="shared" si="11"/>
        <v>1.5015995513728907E-6</v>
      </c>
      <c r="H26" s="6" t="str">
        <f t="shared" si="8"/>
        <v>Sí</v>
      </c>
    </row>
    <row r="27" spans="1:8" x14ac:dyDescent="0.25">
      <c r="A27" s="5">
        <v>6</v>
      </c>
      <c r="B27" s="7">
        <f t="shared" si="9"/>
        <v>1.4142114384748701</v>
      </c>
      <c r="C27" s="7">
        <f t="shared" si="10"/>
        <v>1.4142135620573204</v>
      </c>
      <c r="D27" s="7">
        <f t="shared" si="6"/>
        <v>-6.0072868388605372E-6</v>
      </c>
      <c r="E27" s="7">
        <f t="shared" si="6"/>
        <v>-8.9314555751229818E-10</v>
      </c>
      <c r="F27" s="7">
        <f t="shared" si="7"/>
        <v>1.4142135623730954</v>
      </c>
      <c r="G27" s="7">
        <f t="shared" si="11"/>
        <v>2.2328661677132043E-10</v>
      </c>
      <c r="H27" s="7" t="str">
        <f t="shared" si="8"/>
        <v>Sí</v>
      </c>
    </row>
    <row r="28" spans="1:8" x14ac:dyDescent="0.25">
      <c r="A28" s="5">
        <v>7</v>
      </c>
      <c r="B28" s="6">
        <f t="shared" si="9"/>
        <v>1.4142135620573204</v>
      </c>
      <c r="C28" s="6">
        <f t="shared" si="10"/>
        <v>1.4142135623730954</v>
      </c>
      <c r="D28" s="6">
        <f t="shared" si="6"/>
        <v>-8.9314555751229818E-10</v>
      </c>
      <c r="E28" s="6">
        <f t="shared" si="6"/>
        <v>0</v>
      </c>
      <c r="F28" s="6">
        <f t="shared" si="7"/>
        <v>1.4142135623730954</v>
      </c>
      <c r="G28" s="6">
        <f t="shared" si="11"/>
        <v>0</v>
      </c>
      <c r="H28" s="6" t="str">
        <f t="shared" si="8"/>
        <v>Sí</v>
      </c>
    </row>
    <row r="29" spans="1:8" x14ac:dyDescent="0.25">
      <c r="A29" s="5">
        <v>8</v>
      </c>
      <c r="B29" s="7">
        <f t="shared" si="9"/>
        <v>1.4142135623730954</v>
      </c>
      <c r="C29" s="7">
        <f t="shared" si="10"/>
        <v>1.4142135623730954</v>
      </c>
      <c r="D29" s="7">
        <f t="shared" si="6"/>
        <v>0</v>
      </c>
      <c r="E29" s="7">
        <f t="shared" si="6"/>
        <v>0</v>
      </c>
      <c r="F29" s="7" t="str">
        <f>IFERROR(C29-E29*(C29-B29)/(E29-D29),"Conv.")</f>
        <v>Conv.</v>
      </c>
      <c r="G29" s="7" t="str">
        <f>IFERROR(ABS((F29-C29)/F29),"Conv.")</f>
        <v>Conv.</v>
      </c>
      <c r="H29" s="7" t="str">
        <f>IFERROR(IF(G29&lt;$B$20,"Sí","No"),"Conv.")</f>
        <v>No</v>
      </c>
    </row>
    <row r="31" spans="1:8" ht="15.75" x14ac:dyDescent="0.25">
      <c r="A31" s="1" t="s">
        <v>49</v>
      </c>
      <c r="B31" s="1"/>
      <c r="C31" s="1"/>
      <c r="D31" s="1"/>
      <c r="E31" s="1"/>
      <c r="F31" s="1"/>
      <c r="G31" s="1"/>
      <c r="H31" s="1"/>
    </row>
    <row r="32" spans="1:8" x14ac:dyDescent="0.25">
      <c r="A32" s="2" t="s">
        <v>5</v>
      </c>
      <c r="B32" s="3" t="s">
        <v>18</v>
      </c>
      <c r="C32" s="3"/>
      <c r="D32" s="3"/>
      <c r="E32" s="3"/>
      <c r="F32" s="3"/>
      <c r="G32" s="3"/>
      <c r="H32" s="3"/>
    </row>
    <row r="33" spans="1:8" x14ac:dyDescent="0.25">
      <c r="A33" s="2" t="s">
        <v>30</v>
      </c>
      <c r="B33" s="3">
        <v>2</v>
      </c>
      <c r="C33" s="3"/>
      <c r="D33" s="3"/>
      <c r="E33" s="3"/>
      <c r="F33" s="3"/>
      <c r="G33" s="3"/>
      <c r="H33" s="3"/>
    </row>
    <row r="34" spans="1:8" x14ac:dyDescent="0.25">
      <c r="A34" s="2" t="s">
        <v>44</v>
      </c>
      <c r="B34" s="3">
        <v>3</v>
      </c>
      <c r="C34" s="3"/>
      <c r="D34" s="3"/>
      <c r="E34" s="3"/>
      <c r="F34" s="3"/>
      <c r="G34" s="3"/>
      <c r="H34" s="3"/>
    </row>
    <row r="35" spans="1:8" ht="30" x14ac:dyDescent="0.25">
      <c r="A35" s="2" t="s">
        <v>9</v>
      </c>
      <c r="B35" s="3">
        <v>1E-3</v>
      </c>
      <c r="C35" s="3"/>
      <c r="D35" s="3"/>
      <c r="E35" s="3"/>
      <c r="F35" s="3"/>
      <c r="G35" s="3"/>
      <c r="H35" s="3"/>
    </row>
    <row r="36" spans="1:8" ht="60" x14ac:dyDescent="0.25">
      <c r="A36" s="4" t="s">
        <v>10</v>
      </c>
      <c r="B36" s="4" t="s">
        <v>45</v>
      </c>
      <c r="C36" s="4" t="s">
        <v>31</v>
      </c>
      <c r="D36" s="4" t="s">
        <v>46</v>
      </c>
      <c r="E36" s="4" t="s">
        <v>32</v>
      </c>
      <c r="F36" s="4" t="s">
        <v>47</v>
      </c>
      <c r="G36" s="4" t="s">
        <v>3</v>
      </c>
      <c r="H36" s="4" t="s">
        <v>36</v>
      </c>
    </row>
    <row r="37" spans="1:8" x14ac:dyDescent="0.25">
      <c r="A37" s="5">
        <v>1</v>
      </c>
      <c r="B37" s="6">
        <f>$B$33</f>
        <v>2</v>
      </c>
      <c r="C37" s="6">
        <f>$B$34</f>
        <v>3</v>
      </c>
      <c r="D37" s="6">
        <f t="shared" ref="D37:E44" si="12">B37^3-2*B37-5</f>
        <v>-1</v>
      </c>
      <c r="E37" s="6">
        <f t="shared" si="12"/>
        <v>16</v>
      </c>
      <c r="F37" s="6">
        <f t="shared" ref="F37:F43" si="13">IFERROR(C37-E37*(C37-B37)/(E37-D37),E37)</f>
        <v>2.0588235294117645</v>
      </c>
      <c r="G37" s="6">
        <f>ABS(C37-B37)</f>
        <v>1</v>
      </c>
      <c r="H37" s="6" t="str">
        <f t="shared" ref="H37:H43" si="14">IF(G37&lt;$B$35,"Sí","No")</f>
        <v>No</v>
      </c>
    </row>
    <row r="38" spans="1:8" x14ac:dyDescent="0.25">
      <c r="A38" s="5">
        <v>2</v>
      </c>
      <c r="B38" s="7">
        <f t="shared" ref="B38:B44" si="15">C37</f>
        <v>3</v>
      </c>
      <c r="C38" s="7">
        <f t="shared" ref="C38:C44" si="16">F37</f>
        <v>2.0588235294117645</v>
      </c>
      <c r="D38" s="7">
        <f t="shared" si="12"/>
        <v>16</v>
      </c>
      <c r="E38" s="7">
        <f t="shared" si="12"/>
        <v>-0.39079991858335283</v>
      </c>
      <c r="F38" s="7">
        <f t="shared" si="13"/>
        <v>2.0812636598450229</v>
      </c>
      <c r="G38" s="7">
        <f t="shared" ref="G38:G43" si="17">ABS((F38-C38)/F38)</f>
        <v>1.0781973887407129E-2</v>
      </c>
      <c r="H38" s="7" t="str">
        <f t="shared" si="14"/>
        <v>No</v>
      </c>
    </row>
    <row r="39" spans="1:8" x14ac:dyDescent="0.25">
      <c r="A39" s="5">
        <v>3</v>
      </c>
      <c r="B39" s="6">
        <f t="shared" si="15"/>
        <v>2.0588235294117645</v>
      </c>
      <c r="C39" s="6">
        <f t="shared" si="16"/>
        <v>2.0812636598450229</v>
      </c>
      <c r="D39" s="6">
        <f t="shared" si="12"/>
        <v>-0.39079991858335283</v>
      </c>
      <c r="E39" s="6">
        <f t="shared" si="12"/>
        <v>-0.14720405955375426</v>
      </c>
      <c r="F39" s="6">
        <f t="shared" si="13"/>
        <v>2.0948241460940524</v>
      </c>
      <c r="G39" s="6">
        <f t="shared" si="17"/>
        <v>6.4733291690923017E-3</v>
      </c>
      <c r="H39" s="6" t="str">
        <f t="shared" si="14"/>
        <v>No</v>
      </c>
    </row>
    <row r="40" spans="1:8" x14ac:dyDescent="0.25">
      <c r="A40" s="5">
        <v>4</v>
      </c>
      <c r="B40" s="7">
        <f t="shared" si="15"/>
        <v>2.0812636598450229</v>
      </c>
      <c r="C40" s="7">
        <f t="shared" si="16"/>
        <v>2.0948241460940524</v>
      </c>
      <c r="D40" s="7">
        <f t="shared" si="12"/>
        <v>-0.14720405955375426</v>
      </c>
      <c r="E40" s="7">
        <f t="shared" si="12"/>
        <v>3.0437955988897869E-3</v>
      </c>
      <c r="F40" s="7">
        <f t="shared" si="13"/>
        <v>2.0945494310352473</v>
      </c>
      <c r="G40" s="7">
        <f t="shared" si="17"/>
        <v>1.3115711414334291E-4</v>
      </c>
      <c r="H40" s="7" t="str">
        <f t="shared" si="14"/>
        <v>Sí</v>
      </c>
    </row>
    <row r="41" spans="1:8" x14ac:dyDescent="0.25">
      <c r="A41" s="5">
        <v>5</v>
      </c>
      <c r="B41" s="6">
        <f t="shared" si="15"/>
        <v>2.0948241460940524</v>
      </c>
      <c r="C41" s="6">
        <f t="shared" si="16"/>
        <v>2.0945494310352473</v>
      </c>
      <c r="D41" s="6">
        <f t="shared" si="12"/>
        <v>3.0437955988897869E-3</v>
      </c>
      <c r="E41" s="6">
        <f t="shared" si="12"/>
        <v>-2.2886580653747046E-5</v>
      </c>
      <c r="F41" s="6">
        <f t="shared" si="13"/>
        <v>2.0945514812275992</v>
      </c>
      <c r="G41" s="6">
        <f t="shared" si="17"/>
        <v>9.7882165717228285E-7</v>
      </c>
      <c r="H41" s="6" t="str">
        <f t="shared" si="14"/>
        <v>Sí</v>
      </c>
    </row>
    <row r="42" spans="1:8" x14ac:dyDescent="0.25">
      <c r="A42" s="5">
        <v>6</v>
      </c>
      <c r="B42" s="7">
        <f t="shared" si="15"/>
        <v>2.0945494310352473</v>
      </c>
      <c r="C42" s="7">
        <f t="shared" si="16"/>
        <v>2.0945514812275992</v>
      </c>
      <c r="D42" s="7">
        <f t="shared" si="12"/>
        <v>-2.2886580653747046E-5</v>
      </c>
      <c r="E42" s="7">
        <f t="shared" si="12"/>
        <v>-3.5128113751170531E-9</v>
      </c>
      <c r="F42" s="7">
        <f t="shared" si="13"/>
        <v>2.094551481542327</v>
      </c>
      <c r="G42" s="7">
        <f t="shared" si="17"/>
        <v>1.5026023573592392E-10</v>
      </c>
      <c r="H42" s="7" t="str">
        <f t="shared" si="14"/>
        <v>Sí</v>
      </c>
    </row>
    <row r="43" spans="1:8" x14ac:dyDescent="0.25">
      <c r="A43" s="5">
        <v>7</v>
      </c>
      <c r="B43" s="6">
        <f t="shared" si="15"/>
        <v>2.0945514812275992</v>
      </c>
      <c r="C43" s="6">
        <f t="shared" si="16"/>
        <v>2.094551481542327</v>
      </c>
      <c r="D43" s="6">
        <f t="shared" si="12"/>
        <v>-3.5128113751170531E-9</v>
      </c>
      <c r="E43" s="6">
        <f t="shared" si="12"/>
        <v>0</v>
      </c>
      <c r="F43" s="6">
        <f t="shared" si="13"/>
        <v>2.094551481542327</v>
      </c>
      <c r="G43" s="6">
        <f t="shared" si="17"/>
        <v>0</v>
      </c>
      <c r="H43" s="6" t="str">
        <f t="shared" si="14"/>
        <v>Sí</v>
      </c>
    </row>
    <row r="44" spans="1:8" x14ac:dyDescent="0.25">
      <c r="A44" s="5">
        <v>8</v>
      </c>
      <c r="B44" s="7">
        <f t="shared" si="15"/>
        <v>2.094551481542327</v>
      </c>
      <c r="C44" s="7">
        <f t="shared" si="16"/>
        <v>2.094551481542327</v>
      </c>
      <c r="D44" s="7">
        <f t="shared" si="12"/>
        <v>0</v>
      </c>
      <c r="E44" s="7">
        <f t="shared" si="12"/>
        <v>0</v>
      </c>
      <c r="F44" s="7" t="str">
        <f>IFERROR(C44-E44*(C44-B44)/(E44-D44),"Conv.")</f>
        <v>Conv.</v>
      </c>
      <c r="G44" s="7" t="str">
        <f>IFERROR(ABS((F44-C44)/F44),"Conv.")</f>
        <v>Conv.</v>
      </c>
      <c r="H44" s="7" t="str">
        <f>IFERROR(IF(G44&lt;$B$35,"Sí","No"),"Conv.")</f>
        <v>No</v>
      </c>
    </row>
    <row r="46" spans="1:8" ht="15.75" x14ac:dyDescent="0.25">
      <c r="A46" s="1" t="s">
        <v>50</v>
      </c>
      <c r="B46" s="1"/>
      <c r="C46" s="1"/>
      <c r="D46" s="1"/>
      <c r="E46" s="1"/>
      <c r="F46" s="1"/>
      <c r="G46" s="1"/>
      <c r="H46" s="1"/>
    </row>
    <row r="47" spans="1:8" x14ac:dyDescent="0.25">
      <c r="A47" s="2" t="s">
        <v>5</v>
      </c>
      <c r="B47" s="3" t="s">
        <v>20</v>
      </c>
      <c r="C47" s="3"/>
      <c r="D47" s="3"/>
      <c r="E47" s="3"/>
      <c r="F47" s="3"/>
      <c r="G47" s="3"/>
      <c r="H47" s="3"/>
    </row>
    <row r="48" spans="1:8" x14ac:dyDescent="0.25">
      <c r="A48" s="2" t="s">
        <v>30</v>
      </c>
      <c r="B48" s="3">
        <v>0.9</v>
      </c>
      <c r="C48" s="3"/>
      <c r="D48" s="3"/>
      <c r="E48" s="3"/>
      <c r="F48" s="3"/>
      <c r="G48" s="3"/>
      <c r="H48" s="3"/>
    </row>
    <row r="49" spans="1:8" x14ac:dyDescent="0.25">
      <c r="A49" s="2" t="s">
        <v>44</v>
      </c>
      <c r="B49" s="3">
        <v>1.5</v>
      </c>
      <c r="C49" s="3"/>
      <c r="D49" s="3"/>
      <c r="E49" s="3"/>
      <c r="F49" s="3"/>
      <c r="G49" s="3"/>
      <c r="H49" s="3"/>
    </row>
    <row r="50" spans="1:8" ht="30" x14ac:dyDescent="0.25">
      <c r="A50" s="2" t="s">
        <v>9</v>
      </c>
      <c r="B50" s="3">
        <v>1E-3</v>
      </c>
      <c r="C50" s="3"/>
      <c r="D50" s="3"/>
      <c r="E50" s="3"/>
      <c r="F50" s="3"/>
      <c r="G50" s="3"/>
      <c r="H50" s="3"/>
    </row>
    <row r="51" spans="1:8" ht="60" x14ac:dyDescent="0.25">
      <c r="A51" s="4" t="s">
        <v>10</v>
      </c>
      <c r="B51" s="4" t="s">
        <v>45</v>
      </c>
      <c r="C51" s="4" t="s">
        <v>31</v>
      </c>
      <c r="D51" s="4" t="s">
        <v>46</v>
      </c>
      <c r="E51" s="4" t="s">
        <v>32</v>
      </c>
      <c r="F51" s="4" t="s">
        <v>47</v>
      </c>
      <c r="G51" s="4" t="s">
        <v>3</v>
      </c>
      <c r="H51" s="4" t="s">
        <v>36</v>
      </c>
    </row>
    <row r="52" spans="1:8" x14ac:dyDescent="0.25">
      <c r="A52" s="5">
        <v>1</v>
      </c>
      <c r="B52" s="6">
        <f>$B$48</f>
        <v>0.9</v>
      </c>
      <c r="C52" s="6">
        <f>$B$49</f>
        <v>1.5</v>
      </c>
      <c r="D52" s="6">
        <f t="shared" ref="D52:E59" si="18">2*B52^2-3</f>
        <v>-1.38</v>
      </c>
      <c r="E52" s="6">
        <f t="shared" si="18"/>
        <v>1.5</v>
      </c>
      <c r="F52" s="6">
        <f t="shared" ref="F52:F58" si="19">IFERROR(C52-E52*(C52-B52)/(E52-D52),E52)</f>
        <v>1.1875</v>
      </c>
      <c r="G52" s="6">
        <f>ABS(C52-B52)</f>
        <v>0.6</v>
      </c>
      <c r="H52" s="6" t="str">
        <f t="shared" ref="H52:H58" si="20">IF(G52&lt;$B$50,"Sí","No")</f>
        <v>No</v>
      </c>
    </row>
    <row r="53" spans="1:8" x14ac:dyDescent="0.25">
      <c r="A53" s="5">
        <v>2</v>
      </c>
      <c r="B53" s="7">
        <f t="shared" ref="B53:B59" si="21">C52</f>
        <v>1.5</v>
      </c>
      <c r="C53" s="7">
        <f t="shared" ref="C53:C59" si="22">F52</f>
        <v>1.1875</v>
      </c>
      <c r="D53" s="7">
        <f t="shared" si="18"/>
        <v>1.5</v>
      </c>
      <c r="E53" s="7">
        <f t="shared" si="18"/>
        <v>-0.1796875</v>
      </c>
      <c r="F53" s="7">
        <f t="shared" si="19"/>
        <v>1.2209302325581395</v>
      </c>
      <c r="G53" s="7">
        <f t="shared" ref="G53:G58" si="23">ABS((F53-C53)/F53)</f>
        <v>2.7380952380952339E-2</v>
      </c>
      <c r="H53" s="7" t="str">
        <f t="shared" si="20"/>
        <v>No</v>
      </c>
    </row>
    <row r="54" spans="1:8" x14ac:dyDescent="0.25">
      <c r="A54" s="5">
        <v>3</v>
      </c>
      <c r="B54" s="6">
        <f t="shared" si="21"/>
        <v>1.1875</v>
      </c>
      <c r="C54" s="6">
        <f t="shared" si="22"/>
        <v>1.2209302325581395</v>
      </c>
      <c r="D54" s="6">
        <f t="shared" si="18"/>
        <v>-0.1796875</v>
      </c>
      <c r="E54" s="6">
        <f t="shared" si="18"/>
        <v>-1.8658734451054926E-2</v>
      </c>
      <c r="F54" s="6">
        <f t="shared" si="19"/>
        <v>1.2248038624019313</v>
      </c>
      <c r="G54" s="6">
        <f t="shared" si="23"/>
        <v>3.1626531910140519E-3</v>
      </c>
      <c r="H54" s="6" t="str">
        <f t="shared" si="20"/>
        <v>No</v>
      </c>
    </row>
    <row r="55" spans="1:8" x14ac:dyDescent="0.25">
      <c r="A55" s="5">
        <v>4</v>
      </c>
      <c r="B55" s="7">
        <f t="shared" si="21"/>
        <v>1.2209302325581395</v>
      </c>
      <c r="C55" s="7">
        <f t="shared" si="22"/>
        <v>1.2248038624019313</v>
      </c>
      <c r="D55" s="7">
        <f t="shared" si="18"/>
        <v>-1.8658734451054926E-2</v>
      </c>
      <c r="E55" s="7">
        <f t="shared" si="18"/>
        <v>2.8900270937803896E-4</v>
      </c>
      <c r="F55" s="7">
        <f t="shared" si="19"/>
        <v>1.2247447793826503</v>
      </c>
      <c r="G55" s="7">
        <f t="shared" si="23"/>
        <v>4.8241086857964127E-5</v>
      </c>
      <c r="H55" s="7" t="str">
        <f t="shared" si="20"/>
        <v>Sí</v>
      </c>
    </row>
    <row r="56" spans="1:8" x14ac:dyDescent="0.25">
      <c r="A56" s="5">
        <v>5</v>
      </c>
      <c r="B56" s="6">
        <f t="shared" si="21"/>
        <v>1.2248038624019313</v>
      </c>
      <c r="C56" s="6">
        <f t="shared" si="22"/>
        <v>1.2247447793826503</v>
      </c>
      <c r="D56" s="6">
        <f t="shared" si="18"/>
        <v>2.8900270937803896E-4</v>
      </c>
      <c r="E56" s="6">
        <f t="shared" si="18"/>
        <v>-4.5074988674898009E-7</v>
      </c>
      <c r="F56" s="6">
        <f t="shared" si="19"/>
        <v>1.2247448713893732</v>
      </c>
      <c r="G56" s="6">
        <f t="shared" si="23"/>
        <v>7.512317467614847E-8</v>
      </c>
      <c r="H56" s="6" t="str">
        <f t="shared" si="20"/>
        <v>Sí</v>
      </c>
    </row>
    <row r="57" spans="1:8" x14ac:dyDescent="0.25">
      <c r="A57" s="5">
        <v>6</v>
      </c>
      <c r="B57" s="7">
        <f t="shared" si="21"/>
        <v>1.2247447793826503</v>
      </c>
      <c r="C57" s="7">
        <f t="shared" si="22"/>
        <v>1.2247448713893732</v>
      </c>
      <c r="D57" s="7">
        <f t="shared" si="18"/>
        <v>-4.5074988674898009E-7</v>
      </c>
      <c r="E57" s="7">
        <f t="shared" si="18"/>
        <v>-1.0855760734784781E-11</v>
      </c>
      <c r="F57" s="7">
        <f t="shared" si="19"/>
        <v>1.2247448713915892</v>
      </c>
      <c r="G57" s="7">
        <f t="shared" si="23"/>
        <v>1.8093606341326629E-12</v>
      </c>
      <c r="H57" s="7" t="str">
        <f t="shared" si="20"/>
        <v>Sí</v>
      </c>
    </row>
    <row r="58" spans="1:8" x14ac:dyDescent="0.25">
      <c r="A58" s="5">
        <v>7</v>
      </c>
      <c r="B58" s="6">
        <f t="shared" si="21"/>
        <v>1.2247448713893732</v>
      </c>
      <c r="C58" s="6">
        <f t="shared" si="22"/>
        <v>1.2247448713915892</v>
      </c>
      <c r="D58" s="6">
        <f t="shared" si="18"/>
        <v>-1.0855760734784781E-11</v>
      </c>
      <c r="E58" s="6">
        <f t="shared" si="18"/>
        <v>0</v>
      </c>
      <c r="F58" s="6">
        <f t="shared" si="19"/>
        <v>1.2247448713915892</v>
      </c>
      <c r="G58" s="6">
        <f t="shared" si="23"/>
        <v>0</v>
      </c>
      <c r="H58" s="6" t="str">
        <f t="shared" si="20"/>
        <v>Sí</v>
      </c>
    </row>
    <row r="59" spans="1:8" x14ac:dyDescent="0.25">
      <c r="A59" s="5">
        <v>8</v>
      </c>
      <c r="B59" s="7">
        <f t="shared" si="21"/>
        <v>1.2247448713915892</v>
      </c>
      <c r="C59" s="7">
        <f t="shared" si="22"/>
        <v>1.2247448713915892</v>
      </c>
      <c r="D59" s="7">
        <f t="shared" si="18"/>
        <v>0</v>
      </c>
      <c r="E59" s="7">
        <f t="shared" si="18"/>
        <v>0</v>
      </c>
      <c r="F59" s="7" t="str">
        <f>IFERROR(C59-E59*(C59-B59)/(E59-D59),"Conv.")</f>
        <v>Conv.</v>
      </c>
      <c r="G59" s="7" t="str">
        <f>IFERROR(ABS((F59-C59)/F59),"Conv.")</f>
        <v>Conv.</v>
      </c>
      <c r="H59" s="7" t="str">
        <f>IFERROR(IF(G59&lt;$B$50,"Sí","No"),"Conv.")</f>
        <v>No</v>
      </c>
    </row>
  </sheetData>
  <mergeCells count="20">
    <mergeCell ref="B49:H49"/>
    <mergeCell ref="B50:H50"/>
    <mergeCell ref="B33:H33"/>
    <mergeCell ref="B34:H34"/>
    <mergeCell ref="B35:H35"/>
    <mergeCell ref="A46:H46"/>
    <mergeCell ref="B47:H47"/>
    <mergeCell ref="B48:H48"/>
    <mergeCell ref="B17:H17"/>
    <mergeCell ref="B18:H18"/>
    <mergeCell ref="B19:H19"/>
    <mergeCell ref="B20:H20"/>
    <mergeCell ref="A31:H31"/>
    <mergeCell ref="B32:H32"/>
    <mergeCell ref="A1:H1"/>
    <mergeCell ref="B2:H2"/>
    <mergeCell ref="B3:H3"/>
    <mergeCell ref="B4:H4"/>
    <mergeCell ref="B5:H5"/>
    <mergeCell ref="A16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Metodo Bisección</vt:lpstr>
      <vt:lpstr>Metodo Falsa Posicion</vt:lpstr>
      <vt:lpstr>Metodo Newton-Raphson</vt:lpstr>
      <vt:lpstr>Metodo 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guzmanbriana055@gmail.com</dc:creator>
  <cp:lastModifiedBy>alan Aguilar</cp:lastModifiedBy>
  <dcterms:created xsi:type="dcterms:W3CDTF">2026-02-10T17:13:54Z</dcterms:created>
  <dcterms:modified xsi:type="dcterms:W3CDTF">2026-02-23T16:09:10Z</dcterms:modified>
</cp:coreProperties>
</file>